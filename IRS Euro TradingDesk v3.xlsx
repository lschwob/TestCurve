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URBE" sheetId="2" state="visible" r:id="rId4"/>
    <sheet name="BOOK" sheetId="3" state="visible" r:id="rId5"/>
    <sheet name="PRICER" sheetId="4" state="visible" r:id="rId6"/>
    <sheet name="PCA RISK" sheetId="5" state="visible" r:id="rId7"/>
    <sheet name="PCA MATRICES" sheetId="6" state="visible" r:id="rId8"/>
    <sheet name="FUTURES" sheetId="7" state="visible" r:id="rId9"/>
    <sheet name="STRATS FUTURES" sheetId="8" state="visible" r:id="rId10"/>
    <sheet name="SCÉNARIOS" sheetId="9" state="visible" r:id="rId11"/>
    <sheet name="PARAM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<sst xmlns="http://schemas.openxmlformats.org/spreadsheetml/2006/main" count="1112" uniqueCount="613">
  <si>
    <t xml:space="preserve">▸  IRS EURO TRADING DESK  ·  RISK DASHBOARD</t>
  </si>
  <si>
    <t xml:space="preserve">€STR OIS  &amp;  EURIBOR 6M  |  Maturités liquides 1Y–60Y  |  Mise à jour automatique</t>
  </si>
  <si>
    <t xml:space="preserve">→ COURBE</t>
  </si>
  <si>
    <t xml:space="preserve">→ BOOK</t>
  </si>
  <si>
    <t xml:space="preserve">→ PRICER</t>
  </si>
  <si>
    <t xml:space="preserve">→ PCA RISK</t>
  </si>
  <si>
    <t xml:space="preserve">  RISQUE PORTEFEUILLE GLOBAL</t>
  </si>
  <si>
    <t xml:space="preserve">DV01 TOTAL</t>
  </si>
  <si>
    <t xml:space="preserve">DV01 €STR</t>
  </si>
  <si>
    <t xml:space="preserve">DV01 EURIB6M</t>
  </si>
  <si>
    <t xml:space="preserve">CS01 TOTAL</t>
  </si>
  <si>
    <t xml:space="preserve">VAR 99% 1J</t>
  </si>
  <si>
    <t xml:space="preserve">CARRY 1J</t>
  </si>
  <si>
    <t xml:space="preserve">NB TRADES</t>
  </si>
  <si>
    <t xml:space="preserve">P&amp;L JOUR</t>
  </si>
  <si>
    <t xml:space="preserve">  DV01 PAR BUCKET DE MATURITÉ (€/pb)</t>
  </si>
  <si>
    <t xml:space="preserve">1-3Y</t>
  </si>
  <si>
    <t xml:space="preserve">4-5Y</t>
  </si>
  <si>
    <t xml:space="preserve">6-7Y</t>
  </si>
  <si>
    <t xml:space="preserve">8-10Y</t>
  </si>
  <si>
    <t xml:space="preserve">11-15Y</t>
  </si>
  <si>
    <t xml:space="preserve">16-20Y</t>
  </si>
  <si>
    <t xml:space="preserve">21-30Y</t>
  </si>
  <si>
    <t xml:space="preserve">31-50Y</t>
  </si>
  <si>
    <t xml:space="preserve">  SNAPSHOT COURBE BUMPED (€STR OIS %)</t>
  </si>
  <si>
    <t xml:space="preserve">1Y</t>
  </si>
  <si>
    <t xml:space="preserve">2Y</t>
  </si>
  <si>
    <t xml:space="preserve">3Y</t>
  </si>
  <si>
    <t xml:space="preserve">5Y</t>
  </si>
  <si>
    <t xml:space="preserve">7Y</t>
  </si>
  <si>
    <t xml:space="preserve">10Y</t>
  </si>
  <si>
    <t xml:space="preserve">15Y</t>
  </si>
  <si>
    <t xml:space="preserve">20Y</t>
  </si>
  <si>
    <t xml:space="preserve">30Y</t>
  </si>
  <si>
    <t xml:space="preserve">50Y</t>
  </si>
  <si>
    <t xml:space="preserve">  TOP 5 POSITIONS PAR DV01 ABSOLU</t>
  </si>
  <si>
    <t xml:space="preserve">Trade ID</t>
  </si>
  <si>
    <t xml:space="preserve">Contrepartie</t>
  </si>
  <si>
    <t xml:space="preserve">Type</t>
  </si>
  <si>
    <t xml:space="preserve">Index</t>
  </si>
  <si>
    <t xml:space="preserve">Mat.</t>
  </si>
  <si>
    <t xml:space="preserve">Notionnel (M€)</t>
  </si>
  <si>
    <t xml:space="preserve">DV01 (€)</t>
  </si>
  <si>
    <t xml:space="preserve">P&amp;L Jour (€)</t>
  </si>
  <si>
    <t xml:space="preserve">  ALERTES RISQUE</t>
  </si>
  <si>
    <t xml:space="preserve">DV01 Total &gt; Limite</t>
  </si>
  <si>
    <t xml:space="preserve">VAR &gt; Limite</t>
  </si>
  <si>
    <t xml:space="preserve">Nb Trades max</t>
  </si>
  <si>
    <t xml:space="preserve">COURBE DE TAUX IRS EURO  ·  €STR OIS  &amp;  EURIBOR 6M  ·  BUMPS INTERACTIFS</t>
  </si>
  <si>
    <t xml:space="preserve">  Bleu = saisie  |  Noir = formule  |  Vert = lien inter-onglet  |  F9 = recalcul</t>
  </si>
  <si>
    <t xml:space="preserve">BUMPS →</t>
  </si>
  <si>
    <t xml:space="preserve">Parallèle (pb)</t>
  </si>
  <si>
    <t xml:space="preserve">Tilt (pb/an)</t>
  </si>
  <si>
    <t xml:space="preserve">Twist (pb)</t>
  </si>
  <si>
    <t xml:space="preserve">Fly Wing (pb)</t>
  </si>
  <si>
    <t xml:space="preserve">Basis +/- (pb)</t>
  </si>
  <si>
    <t xml:space="preserve">#</t>
  </si>
  <si>
    <t xml:space="preserve">€STR Base</t>
  </si>
  <si>
    <t xml:space="preserve">E6M Base</t>
  </si>
  <si>
    <t xml:space="preserve">Δ Para.</t>
  </si>
  <si>
    <t xml:space="preserve">Δ Tilt</t>
  </si>
  <si>
    <t xml:space="preserve">Δ Twist</t>
  </si>
  <si>
    <t xml:space="preserve">€STR Bumped</t>
  </si>
  <si>
    <t xml:space="preserve">E6M Bumped</t>
  </si>
  <si>
    <t xml:space="preserve">Fwd €STR</t>
  </si>
  <si>
    <t xml:space="preserve">Fwd E6M</t>
  </si>
  <si>
    <t xml:space="preserve">DF €STR</t>
  </si>
  <si>
    <t xml:space="preserve">DF E6M</t>
  </si>
  <si>
    <t xml:space="preserve">Basis (pb)</t>
  </si>
  <si>
    <t xml:space="preserve">4Y</t>
  </si>
  <si>
    <t xml:space="preserve">6Y</t>
  </si>
  <si>
    <t xml:space="preserve">8Y</t>
  </si>
  <si>
    <t xml:space="preserve">9Y</t>
  </si>
  <si>
    <t xml:space="preserve">11Y</t>
  </si>
  <si>
    <t xml:space="preserve">12Y</t>
  </si>
  <si>
    <t xml:space="preserve">25Y</t>
  </si>
  <si>
    <t xml:space="preserve">35Y</t>
  </si>
  <si>
    <t xml:space="preserve">40Y</t>
  </si>
  <si>
    <t xml:space="preserve">60Y</t>
  </si>
  <si>
    <t xml:space="preserve">  STATISTIQUES COURBE BUMPED</t>
  </si>
  <si>
    <t xml:space="preserve">Min €STR</t>
  </si>
  <si>
    <t xml:space="preserve">Max €STR</t>
  </si>
  <si>
    <t xml:space="preserve">2-10 spread</t>
  </si>
  <si>
    <t xml:space="preserve">10-30 spread</t>
  </si>
  <si>
    <t xml:space="preserve">Min E6M</t>
  </si>
  <si>
    <t xml:space="preserve">Max E6M</t>
  </si>
  <si>
    <t xml:space="preserve">Basis moy</t>
  </si>
  <si>
    <t xml:space="preserve">Twist val</t>
  </si>
  <si>
    <t xml:space="preserve">BOOK DE POSITIONS IRS EURO  ·  GESTION DES TRADES</t>
  </si>
  <si>
    <t xml:space="preserve">  Saisie directe dans les colonnes bleues  |  Calculs automatiques  |  Jusqu'à 100 trades</t>
  </si>
  <si>
    <t xml:space="preserve">  SAISIE: Remplir les colonnes bleues (B à K). Les colonnes grises sont calculées automatiquement.</t>
  </si>
  <si>
    <t xml:space="preserve">IDENTIFICATION</t>
  </si>
  <si>
    <t xml:space="preserve">STRUCTURE</t>
  </si>
  <si>
    <t xml:space="preserve">TAUX (%)</t>
  </si>
  <si>
    <t xml:space="preserve">RISQUE (€)</t>
  </si>
  <si>
    <t xml:space="preserve">DV01 &amp; BPV</t>
  </si>
  <si>
    <t xml:space="preserve">CARRY / ROLL</t>
  </si>
  <si>
    <t xml:space="preserve">P&amp;L</t>
  </si>
  <si>
    <t xml:space="preserve">Date Trade</t>
  </si>
  <si>
    <t xml:space="preserve">Échéance</t>
  </si>
  <si>
    <t xml:space="preserve">Direction</t>
  </si>
  <si>
    <t xml:space="preserve">Mat(Y)</t>
  </si>
  <si>
    <t xml:space="preserve">Notionnel(M€)</t>
  </si>
  <si>
    <t xml:space="preserve">Taux Fixe%</t>
  </si>
  <si>
    <t xml:space="preserve">Spread Flot(pb)</t>
  </si>
  <si>
    <t xml:space="preserve">Taux Fixe</t>
  </si>
  <si>
    <t xml:space="preserve">Taux Flot</t>
  </si>
  <si>
    <t xml:space="preserve">Spread</t>
  </si>
  <si>
    <t xml:space="preserve">DV01(€/pb)</t>
  </si>
  <si>
    <t xml:space="preserve">BPV(€)</t>
  </si>
  <si>
    <t xml:space="preserve">DV01 Net</t>
  </si>
  <si>
    <t xml:space="preserve">Carry 1J(€)</t>
  </si>
  <si>
    <t xml:space="preserve">Roll 3M(pb)</t>
  </si>
  <si>
    <t xml:space="preserve">Total R+C</t>
  </si>
  <si>
    <t xml:space="preserve">NPV(€)</t>
  </si>
  <si>
    <t xml:space="preserve">P&amp;L Jour(€)</t>
  </si>
  <si>
    <t xml:space="preserve">Commentaire</t>
  </si>
  <si>
    <t xml:space="preserve">TR-001</t>
  </si>
  <si>
    <t xml:space="preserve">BNP Paribas</t>
  </si>
  <si>
    <t xml:space="preserve">15/01/2025</t>
  </si>
  <si>
    <t xml:space="preserve">15/01/2035</t>
  </si>
  <si>
    <t xml:space="preserve">ESTER</t>
  </si>
  <si>
    <t xml:space="preserve">PAY</t>
  </si>
  <si>
    <t xml:space="preserve">TR-002</t>
  </si>
  <si>
    <t xml:space="preserve">SG CIB</t>
  </si>
  <si>
    <t xml:space="preserve">01/03/2025</t>
  </si>
  <si>
    <t xml:space="preserve">01/03/2030</t>
  </si>
  <si>
    <t xml:space="preserve">EURIB6M</t>
  </si>
  <si>
    <t xml:space="preserve">RECEIVE</t>
  </si>
  <si>
    <t xml:space="preserve">TR-003</t>
  </si>
  <si>
    <t xml:space="preserve">Deutsche Bank</t>
  </si>
  <si>
    <t xml:space="preserve">10/02/2025</t>
  </si>
  <si>
    <t xml:space="preserve">10/02/2055</t>
  </si>
  <si>
    <t xml:space="preserve">TOTAUX PORTEFEUILLE</t>
  </si>
  <si>
    <t xml:space="preserve">PRICER IRS EURO UNIQUE  ·  €STR OIS  &amp;  EURIBOR 6M</t>
  </si>
  <si>
    <t xml:space="preserve">  NPV · DV01 · Duration · BPV · Carry · Greeks complets</t>
  </si>
  <si>
    <t xml:space="preserve">  PARAMÈTRES SWAP</t>
  </si>
  <si>
    <t xml:space="preserve">  TAUX DE MARCHÉ (from COURBE)</t>
  </si>
  <si>
    <t xml:space="preserve">Maturité (ans)</t>
  </si>
  <si>
    <t xml:space="preserve">Taux Fixe (%)</t>
  </si>
  <si>
    <t xml:space="preserve">DF (€STR)</t>
  </si>
  <si>
    <t xml:space="preserve">Fréquence (pmts/an)</t>
  </si>
  <si>
    <t xml:space="preserve">Taux Flottant</t>
  </si>
  <si>
    <t xml:space="preserve">Spread Flottant(pb)</t>
  </si>
  <si>
    <t xml:space="preserve">Ref Courbe (tenor)</t>
  </si>
  <si>
    <t xml:space="preserve">  MÉTRIQUES RISQUE</t>
  </si>
  <si>
    <t xml:space="preserve">DV01 (€/pb)</t>
  </si>
  <si>
    <t xml:space="preserve">BPV (€)</t>
  </si>
  <si>
    <t xml:space="preserve">Duration modif.</t>
  </si>
  <si>
    <t xml:space="preserve">Convexité</t>
  </si>
  <si>
    <t xml:space="preserve">Theta/jour (€)</t>
  </si>
  <si>
    <t xml:space="preserve">Carry 3M (€)</t>
  </si>
  <si>
    <t xml:space="preserve">NPV (€)</t>
  </si>
  <si>
    <t xml:space="preserve">VAR 99% 1J (€)</t>
  </si>
  <si>
    <t xml:space="preserve">P&amp;L +1pb</t>
  </si>
  <si>
    <t xml:space="preserve">P&amp;L -1pb</t>
  </si>
  <si>
    <t xml:space="preserve">P&amp;L +25pb</t>
  </si>
  <si>
    <t xml:space="preserve">P&amp;L -25pb</t>
  </si>
  <si>
    <t xml:space="preserve">  TABLEAU DE CASHFLOWS</t>
  </si>
  <si>
    <t xml:space="preserve">Période</t>
  </si>
  <si>
    <t xml:space="preserve">Temps(Y)</t>
  </si>
  <si>
    <t xml:space="preserve">CF Fixe(€)</t>
  </si>
  <si>
    <t xml:space="preserve">CF Flot(€)</t>
  </si>
  <si>
    <t xml:space="preserve">CF Net(€)</t>
  </si>
  <si>
    <t xml:space="preserve">DF</t>
  </si>
  <si>
    <t xml:space="preserve">PV(€)</t>
  </si>
  <si>
    <t xml:space="preserve">NPV Cum(€)</t>
  </si>
  <si>
    <t xml:space="preserve">PROJECTION PCA DU RISQUE  ·  3 NIVEAUX DE LIQUIDITÉ</t>
  </si>
  <si>
    <t xml:space="preserve">  ACP sur covariance historique EUR IRS  |  PC1=niveau  PC2=pente  PC3=courbure  |  3 projections : ILLIQUIDE (3 piliers) · MOYEN (5) · LIQUIDE (7)</t>
  </si>
  <si>
    <t xml:space="preserve">  ① PILIERS ILLIQUIDES  [2Y · 10Y · 30Y]</t>
  </si>
  <si>
    <t xml:space="preserve">DV01 Projeté sur piliers (€/pb) — from BOOK:</t>
  </si>
  <si>
    <t xml:space="preserve">DV01 net agrégé</t>
  </si>
  <si>
    <t xml:space="preserve">Matrice de Covariance (pb²/an):</t>
  </si>
  <si>
    <t xml:space="preserve">Valeurs propres (eigenvalues) &amp; variance expliquée:</t>
  </si>
  <si>
    <t xml:space="preserve">PC1</t>
  </si>
  <si>
    <t xml:space="preserve">PC2</t>
  </si>
  <si>
    <t xml:space="preserve">PC3</t>
  </si>
  <si>
    <t xml:space="preserve">Résiduel</t>
  </si>
  <si>
    <t xml:space="preserve">Eigenvalue (pb²)</t>
  </si>
  <si>
    <t xml:space="preserve">% Variance expl.</t>
  </si>
  <si>
    <t xml:space="preserve">Cum. Variance</t>
  </si>
  <si>
    <t xml:space="preserve">Volatilité (pb/√an)</t>
  </si>
  <si>
    <t xml:space="preserve">Vecteurs propres — Factor Loadings:</t>
  </si>
  <si>
    <t xml:space="preserve">PC1 Niveau</t>
  </si>
  <si>
    <t xml:space="preserve">PC2 Pente</t>
  </si>
  <si>
    <t xml:space="preserve">PC3 Courb.</t>
  </si>
  <si>
    <t xml:space="preserve">2Y loading</t>
  </si>
  <si>
    <t xml:space="preserve">10Y loading</t>
  </si>
  <si>
    <t xml:space="preserve">30Y loading</t>
  </si>
  <si>
    <t xml:space="preserve">PROJECTION RISQUE SUR PCs (€/pb):</t>
  </si>
  <si>
    <t xml:space="preserve">Risque Total €</t>
  </si>
  <si>
    <t xml:space="preserve">DV01 projeté (€)</t>
  </si>
  <si>
    <t xml:space="preserve">Vol annuelle (pb×DV01)</t>
  </si>
  <si>
    <t xml:space="preserve">  ② PILIERS INTERMÉDIAIRES  [2Y·5Y·10Y·20Y·30Y]</t>
  </si>
  <si>
    <t xml:space="preserve">PC4</t>
  </si>
  <si>
    <t xml:space="preserve">PC5</t>
  </si>
  <si>
    <t xml:space="preserve">5Y loading</t>
  </si>
  <si>
    <t xml:space="preserve">20Y loading</t>
  </si>
  <si>
    <t xml:space="preserve">  ③ PILIERS LIQUIDES  [1Y·2Y·5Y·10Y·20Y·30Y·50Y]</t>
  </si>
  <si>
    <t xml:space="preserve">1Y loading</t>
  </si>
  <si>
    <t xml:space="preserve">50Y loading</t>
  </si>
  <si>
    <t xml:space="preserve">  SYNTHÈSE COMPARATIVE — 3 NIVEAUX DE LIQUIDITÉ</t>
  </si>
  <si>
    <t xml:space="preserve">Métrique</t>
  </si>
  <si>
    <t xml:space="preserve">ILLIQUIDE (3 piliers)</t>
  </si>
  <si>
    <t xml:space="preserve">INTERMÉDIAIRE (5 piliers)</t>
  </si>
  <si>
    <t xml:space="preserve">LIQUIDE (7 piliers)</t>
  </si>
  <si>
    <t xml:space="preserve">DV01 Total Projeté (€)</t>
  </si>
  <si>
    <t xml:space="preserve">Risque PC1-Niveau (€)</t>
  </si>
  <si>
    <t xml:space="preserve">Risque PC2-Pente (€)</t>
  </si>
  <si>
    <t xml:space="preserve">Risque PC3-Courbure (€)</t>
  </si>
  <si>
    <t xml:space="preserve">% Variance PC1+PC2+PC3</t>
  </si>
  <si>
    <t xml:space="preserve">▸  MATRICES PCA — ANALYSE EN COMPOSANTES PRINCIPALES DES TAUX IRS EURO</t>
  </si>
  <si>
    <t xml:space="preserve">  Covariance · Corrélation · Eigenvalues · Eigenvectors · Projections DV01 ×  3 niveaux de liquidité  |  ILLIQUIDE [2Y·10Y·30Y]  ·  INTERMÉDIAIRE [2Y·5Y·10Y·20Y·30Y]  ·  LIQUIDE [1Y·2Y·5Y·10Y·20Y·30Y·50Y]</t>
  </si>
  <si>
    <t xml:space="preserve">← DASHBOARD</t>
  </si>
  <si>
    <t xml:space="preserve">← COURBE</t>
  </si>
  <si>
    <t xml:space="preserve">← BOOK</t>
  </si>
  <si>
    <t xml:space="preserve">← PCA RISK</t>
  </si>
  <si>
    <t xml:space="preserve">ILLIQUIDES ↓</t>
  </si>
  <si>
    <t xml:space="preserve">INTERMÉDIAIRES ↓</t>
  </si>
  <si>
    <t xml:space="preserve">LIQUIDES ↓</t>
  </si>
  <si>
    <t xml:space="preserve">SYNTHÈSE ↓</t>
  </si>
  <si>
    <t xml:space="preserve">  ①  PILIERS ILLIQUIDES  ·  Piliers : 2Y · 10Y · 30Y</t>
  </si>
  <si>
    <t xml:space="preserve">Nbre de piliers : 3</t>
  </si>
  <si>
    <t xml:space="preserve">PC1 λ = 7008 pb²</t>
  </si>
  <si>
    <t xml:space="preserve">PC2 λ = 2032 pb²</t>
  </si>
  <si>
    <t xml:space="preserve">PC1+2+3 = 100.0% variance</t>
  </si>
  <si>
    <t xml:space="preserve">σ(PC1) = 83.7 pb/√an</t>
  </si>
  <si>
    <t xml:space="preserve">σ(PC2) = 45.1 pb/√an</t>
  </si>
  <si>
    <t xml:space="preserve">σ(PC3) = 37.2 pb/√an</t>
  </si>
  <si>
    <t xml:space="preserve">DV01 Book (€) →</t>
  </si>
  <si>
    <t xml:space="preserve">  MATRICE DE COVARIANCE Σ  (pb²/an)</t>
  </si>
  <si>
    <t xml:space="preserve">  MATRICE DES VECTEURS PROPRES (Loadings)  V = [v₁|v₂|…|vₙ]</t>
  </si>
  <si>
    <t xml:space="preserve">Σ</t>
  </si>
  <si>
    <t xml:space="preserve">Tenor \ PC</t>
  </si>
  <si>
    <t xml:space="preserve">σ(PC)
pb/√an</t>
  </si>
  <si>
    <t xml:space="preserve">σ (pb/√an)</t>
  </si>
  <si>
    <t xml:space="preserve">−1.0 (négatif)</t>
  </si>
  <si>
    <t xml:space="preserve">+1.0 (positif)</t>
  </si>
  <si>
    <t xml:space="preserve">  MATRICE DE CORRÉLATION ρ  [−1 → +1]</t>
  </si>
  <si>
    <t xml:space="preserve">  DÉCOMPOSITION SPECTRALE  (Eigenvalues &amp; Variance Expliquée)</t>
  </si>
  <si>
    <t xml:space="preserve">ρ</t>
  </si>
  <si>
    <t xml:space="preserve">TOTAL</t>
  </si>
  <si>
    <t xml:space="preserve">  λ (eigenvalue, pb²)</t>
  </si>
  <si>
    <t xml:space="preserve">  √λ  = σ (pb/√an)</t>
  </si>
  <si>
    <t xml:space="preserve">  % variance expliquée</t>
  </si>
  <si>
    <t xml:space="preserve">−1.0  (corrélation négative)</t>
  </si>
  <si>
    <t xml:space="preserve">+1.0  (corrélation positive)</t>
  </si>
  <si>
    <t xml:space="preserve">  % variance cumulée</t>
  </si>
  <si>
    <t xml:space="preserve">  Contrib. risque (pb)</t>
  </si>
  <si>
    <t xml:space="preserve">  PROJECTION DU DV01 BOOK SUR LES COMPOSANTES PRINCIPALES  (PILIERS ILLIQUIDES)</t>
  </si>
  <si>
    <t xml:space="preserve">DV01 piliers ↓</t>
  </si>
  <si>
    <t xml:space="preserve">DV01
2Y (€)</t>
  </si>
  <si>
    <t xml:space="preserve">DV01
10Y (€)</t>
  </si>
  <si>
    <t xml:space="preserve">DV01
30Y (€)</t>
  </si>
  <si>
    <t xml:space="preserve">DV01
TOTAL (€)</t>
  </si>
  <si>
    <t xml:space="preserve">Nota</t>
  </si>
  <si>
    <t xml:space="preserve">  DV01 net agrégé du book</t>
  </si>
  <si>
    <t xml:space="preserve">Lié au BOOK  — mise à jour automatique</t>
  </si>
  <si>
    <t xml:space="preserve">Composante</t>
  </si>
  <si>
    <t xml:space="preserve">Interprétation</t>
  </si>
  <si>
    <t xml:space="preserve">Loading
(w·DV01/DV01 tot)</t>
  </si>
  <si>
    <t xml:space="preserve">DV01 projeté
sur PC (€)</t>
  </si>
  <si>
    <t xml:space="preserve">Risque
annuel (€)</t>
  </si>
  <si>
    <t xml:space="preserve">% du risque
total</t>
  </si>
  <si>
    <t xml:space="preserve">VAR 99% 1J
(€)</t>
  </si>
  <si>
    <t xml:space="preserve">PC1  PC1 Niveau</t>
  </si>
  <si>
    <t xml:space="preserve">Niveau (shift parallèle)</t>
  </si>
  <si>
    <t xml:space="preserve">Risque directionnel majeur — position nette courbe</t>
  </si>
  <si>
    <t xml:space="preserve">PC2  PC2 Pente</t>
  </si>
  <si>
    <t xml:space="preserve">Pente (steepening/flattening)</t>
  </si>
  <si>
    <t xml:space="preserve">Risque de pentification/aplatissement</t>
  </si>
  <si>
    <t xml:space="preserve">PC3  PC3 Courb.</t>
  </si>
  <si>
    <t xml:space="preserve">Courbure (butterfly)</t>
  </si>
  <si>
    <t xml:space="preserve">Risque de convexité — butterfly implicite</t>
  </si>
  <si>
    <t xml:space="preserve">  RISQUE TOTAL PORTEFEUILLE (norme vectorielle)</t>
  </si>
  <si>
    <t xml:space="preserve">  ②  PILIERS INTERMÉDIAIRES  ·  Piliers : 2Y · 5Y · 10Y · 20Y · 30Y</t>
  </si>
  <si>
    <t xml:space="preserve">Nbre de piliers : 5</t>
  </si>
  <si>
    <t xml:space="preserve">PC1 λ = 10995 pb²</t>
  </si>
  <si>
    <t xml:space="preserve">PC2 λ = 2448 pb²</t>
  </si>
  <si>
    <t xml:space="preserve">PC1+2+3 = 90.2% variance</t>
  </si>
  <si>
    <t xml:space="preserve">σ(PC1) = 104.9 pb/√an</t>
  </si>
  <si>
    <t xml:space="preserve">σ(PC2) = 49.5 pb/√an</t>
  </si>
  <si>
    <t xml:space="preserve">σ(PC3) = 39.2 pb/√an</t>
  </si>
  <si>
    <t xml:space="preserve">PC4 Twist</t>
  </si>
  <si>
    <t xml:space="preserve">  PROJECTION DU DV01 BOOK SUR LES COMPOSANTES PRINCIPALES  (PILIERS INTERMÉDIAIRES)</t>
  </si>
  <si>
    <t xml:space="preserve">DV01
5Y (€)</t>
  </si>
  <si>
    <t xml:space="preserve">DV01
20Y (€)</t>
  </si>
  <si>
    <t xml:space="preserve">PC4  PC4 Twist</t>
  </si>
  <si>
    <t xml:space="preserve">4ème mode</t>
  </si>
  <si>
    <t xml:space="preserve">Risque résiduel mode 4</t>
  </si>
  <si>
    <t xml:space="preserve">PC5  PC5</t>
  </si>
  <si>
    <t xml:space="preserve">5ème mode</t>
  </si>
  <si>
    <t xml:space="preserve">Risque résiduel mode 5</t>
  </si>
  <si>
    <t xml:space="preserve">  ③  PILIERS LIQUIDES  ·  Piliers : 1Y · 2Y · 5Y · 10Y · 20Y · 30Y · 50Y</t>
  </si>
  <si>
    <t xml:space="preserve">Nbre de piliers : 7</t>
  </si>
  <si>
    <t xml:space="preserve">PC1 λ = 15610 pb²</t>
  </si>
  <si>
    <t xml:space="preserve">PC2 λ = 2959 pb²</t>
  </si>
  <si>
    <t xml:space="preserve">PC1+2+3 = 85.4% variance</t>
  </si>
  <si>
    <t xml:space="preserve">σ(PC1) = 124.9 pb/√an</t>
  </si>
  <si>
    <t xml:space="preserve">σ(PC2) = 54.4 pb/√an</t>
  </si>
  <si>
    <t xml:space="preserve">σ(PC3) = 43.0 pb/√an</t>
  </si>
  <si>
    <t xml:space="preserve">  PROJECTION DU DV01 BOOK SUR LES COMPOSANTES PRINCIPALES  (PILIERS LIQUIDES)</t>
  </si>
  <si>
    <t xml:space="preserve">DV01
1Y (€)</t>
  </si>
  <si>
    <t xml:space="preserve">DV01
50Y (€)</t>
  </si>
  <si>
    <t xml:space="preserve">  ▸  SYNTHÈSE COMPARATIVE — 3 NIVEAUX DE LIQUIDITÉ</t>
  </si>
  <si>
    <t xml:space="preserve">  Comparaison des eigenvalues, volatilités, variances expliquées et loadings clés entre les 3 grilles de piliers</t>
  </si>
  <si>
    <t xml:space="preserve">  EIGENVALUES &amp; VARIANCE PAR PILIER</t>
  </si>
  <si>
    <t xml:space="preserve">Niveau
de liquidité</t>
  </si>
  <si>
    <t xml:space="preserve">Nb
piliers</t>
  </si>
  <si>
    <t xml:space="preserve">λ1
(pb²)</t>
  </si>
  <si>
    <t xml:space="preserve">λ2
(pb²)</t>
  </si>
  <si>
    <t xml:space="preserve">λ3
(pb²)</t>
  </si>
  <si>
    <t xml:space="preserve">λ4
(pb²)</t>
  </si>
  <si>
    <t xml:space="preserve">λ5
(pb²)</t>
  </si>
  <si>
    <t xml:space="preserve">PC1+2+3
% var.</t>
  </si>
  <si>
    <t xml:space="preserve">σ(PC1)
pb/√an</t>
  </si>
  <si>
    <t xml:space="preserve">PILIERS ILLIQUIDES</t>
  </si>
  <si>
    <t xml:space="preserve">—</t>
  </si>
  <si>
    <t xml:space="preserve">PILIERS INTERMÉDIAIRES</t>
  </si>
  <si>
    <t xml:space="preserve">PILIERS LIQUIDES</t>
  </si>
  <si>
    <t xml:space="preserve">  LOADINGS CLÉS (PC1, PC2, PC3) — COMPARAISON INTER-GRILLES</t>
  </si>
  <si>
    <t xml:space="preserve">Pilier commun</t>
  </si>
  <si>
    <t xml:space="preserve">Liqui-
dité</t>
  </si>
  <si>
    <t xml:space="preserve">PC1
Loading</t>
  </si>
  <si>
    <t xml:space="preserve">PC2
Loading</t>
  </si>
  <si>
    <t xml:space="preserve">PC3
Loading</t>
  </si>
  <si>
    <t xml:space="preserve">ILLIQ</t>
  </si>
  <si>
    <t xml:space="preserve">Sensible aux shifts niveau (pousse ↓ prix), sensitif à la aplatissement</t>
  </si>
  <si>
    <t xml:space="preserve">INTER</t>
  </si>
  <si>
    <t xml:space="preserve">LIQUI</t>
  </si>
  <si>
    <t xml:space="preserve">Sensible aux shifts niveau (pousse ↓ prix)</t>
  </si>
  <si>
    <t xml:space="preserve">Faible sensibilité</t>
  </si>
  <si>
    <t xml:space="preserve">Sensible aux shifts niveau (pousse ↓ prix), sensitif à la pentification</t>
  </si>
  <si>
    <t xml:space="preserve">sensitif à la pentification</t>
  </si>
  <si>
    <t xml:space="preserve">  RÉCAPITULATIF — Interprétation des 3 composantes principales EUR IRS</t>
  </si>
  <si>
    <t xml:space="preserve">PC1 — Niveau</t>
  </si>
  <si>
    <t xml:space="preserve">Shift parallèle de toute la courbe. Capte ~65-70% de la variance historique. Correspond au risque directionnel net (beta courbe). Un portefeuille DV01-neutre sur PC1 est immunisé aux mouvements parallèles.</t>
  </si>
  <si>
    <t xml:space="preserve">PC2 — Pente</t>
  </si>
  <si>
    <t xml:space="preserve">Steepening / Flattening. Mouvement de la pente 2Y-30Y. Capte ~12-20% de la variance. Un spread 2Y10Y long est essentiellement du PC2. Loading négatif sur 2Y, positif sur 30Y = steepener.</t>
  </si>
  <si>
    <t xml:space="preserve">PC3 — Courbure</t>
  </si>
  <si>
    <t xml:space="preserve">Butterfly / Convexité. Mouvement concave/convexe de la courbe. Capte ~8-15%. Un fly 2Y10Y30Y est une position pure PC3. Loading de signe opposé sur le ventre vs les ailes.</t>
  </si>
  <si>
    <t xml:space="preserve">PC4-5 — Modes résiduels</t>
  </si>
  <si>
    <t xml:space="preserve">Mouvements idiosyncratiques, segments très courts ou très longs. Variance résiduelle &lt;5%. Difficiles à trader purement. Importance accrue pour les grilles liquides (7 piliers).</t>
  </si>
  <si>
    <t xml:space="preserve">FUTURES EURO  ·  EURIBOR 3M  ·  BUND / BOBL / SCHATZ / BUXL / BTP / OAT</t>
  </si>
  <si>
    <t xml:space="preserve">  Référentiel contrats  |  Book positions  |  DV01  |  P&amp;L  |  Implicite de taux  |  Packs &amp; Bundles  |  Bleu = saisie</t>
  </si>
  <si>
    <t xml:space="preserve">  EURIBOR 3M — CONTRATS DE RÉFÉRENCE (12 échéances)</t>
  </si>
  <si>
    <t xml:space="preserve">  PACKS &amp; BUNDLES EURIBOR 3M</t>
  </si>
  <si>
    <t xml:space="preserve">Contrat</t>
  </si>
  <si>
    <t xml:space="preserve">Taux impl.%</t>
  </si>
  <si>
    <t xml:space="preserve">Prix</t>
  </si>
  <si>
    <t xml:space="preserve">Var/veille</t>
  </si>
  <si>
    <t xml:space="preserve">OI (lots)</t>
  </si>
  <si>
    <t xml:space="preserve">DV01/lot</t>
  </si>
  <si>
    <t xml:space="preserve">Vol 1J(pb)</t>
  </si>
  <si>
    <t xml:space="preserve">Pack/Bundle</t>
  </si>
  <si>
    <t xml:space="preserve">Contracts</t>
  </si>
  <si>
    <t xml:space="preserve">Taux moy.%</t>
  </si>
  <si>
    <t xml:space="preserve">Nbre lots</t>
  </si>
  <si>
    <t xml:space="preserve">DV01 tot(€)</t>
  </si>
  <si>
    <t xml:space="preserve">P&amp;L/pb(€)</t>
  </si>
  <si>
    <t xml:space="preserve">Equiv. IRS</t>
  </si>
  <si>
    <t xml:space="preserve">ERH5</t>
  </si>
  <si>
    <t xml:space="preserve">Mar-25</t>
  </si>
  <si>
    <t xml:space="preserve">Pack 2025</t>
  </si>
  <si>
    <t xml:space="preserve">ERH5, ERM5, ERU5, ERZ5</t>
  </si>
  <si>
    <t xml:space="preserve">1Y equiv</t>
  </si>
  <si>
    <t xml:space="preserve">ERM5</t>
  </si>
  <si>
    <t xml:space="preserve">Jun-25</t>
  </si>
  <si>
    <t xml:space="preserve">Pack 2026</t>
  </si>
  <si>
    <t xml:space="preserve">ERH6, ERM6, ERU6, ERZ6</t>
  </si>
  <si>
    <t xml:space="preserve">2nd year</t>
  </si>
  <si>
    <t xml:space="preserve">ERU5</t>
  </si>
  <si>
    <t xml:space="preserve">Sep-25</t>
  </si>
  <si>
    <t xml:space="preserve">Pack 2027</t>
  </si>
  <si>
    <t xml:space="preserve">ERH7, ERM7, ERU7, ERZ7</t>
  </si>
  <si>
    <t xml:space="preserve">3rd year</t>
  </si>
  <si>
    <t xml:space="preserve">ERZ5</t>
  </si>
  <si>
    <t xml:space="preserve">Dec-25</t>
  </si>
  <si>
    <t xml:space="preserve">Bundle 2Y</t>
  </si>
  <si>
    <t xml:space="preserve">ERH5, ERM5, ERU5, ERZ5+4</t>
  </si>
  <si>
    <t xml:space="preserve">2Y bundle</t>
  </si>
  <si>
    <t xml:space="preserve">ERH6</t>
  </si>
  <si>
    <t xml:space="preserve">Mar-26</t>
  </si>
  <si>
    <t xml:space="preserve">Bundle 3Y</t>
  </si>
  <si>
    <t xml:space="preserve">ERH5, ERM5, ERU5, ERZ5+8</t>
  </si>
  <si>
    <t xml:space="preserve">3Y bundle</t>
  </si>
  <si>
    <t xml:space="preserve">ERM6</t>
  </si>
  <si>
    <t xml:space="preserve">Jun-26</t>
  </si>
  <si>
    <t xml:space="preserve">ERU6</t>
  </si>
  <si>
    <t xml:space="preserve">Sep-26</t>
  </si>
  <si>
    <t xml:space="preserve">ERZ6</t>
  </si>
  <si>
    <t xml:space="preserve">Dec-26</t>
  </si>
  <si>
    <t xml:space="preserve">ERH7</t>
  </si>
  <si>
    <t xml:space="preserve">Mar-27</t>
  </si>
  <si>
    <t xml:space="preserve">ERM7</t>
  </si>
  <si>
    <t xml:space="preserve">Jun-27</t>
  </si>
  <si>
    <t xml:space="preserve">ERU7</t>
  </si>
  <si>
    <t xml:space="preserve">Sep-27</t>
  </si>
  <si>
    <t xml:space="preserve">ERZ7</t>
  </si>
  <si>
    <t xml:space="preserve">Dec-27</t>
  </si>
  <si>
    <t xml:space="preserve">  FUTURES OBLIGATAIRES — EUREX (Bund · Bobl · Schatz · Buxl · BTP · OAT)</t>
  </si>
  <si>
    <t xml:space="preserve">Ticker</t>
  </si>
  <si>
    <t xml:space="preserve">Durée CTD</t>
  </si>
  <si>
    <t xml:space="preserve">DV01/lot(€)</t>
  </si>
  <si>
    <t xml:space="preserve">Coupon CTD</t>
  </si>
  <si>
    <t xml:space="preserve">Yield CTD</t>
  </si>
  <si>
    <t xml:space="preserve">GBX</t>
  </si>
  <si>
    <t xml:space="preserve">BUXL 30Y</t>
  </si>
  <si>
    <t xml:space="preserve">GBL</t>
  </si>
  <si>
    <t xml:space="preserve">BUND 10Y</t>
  </si>
  <si>
    <t xml:space="preserve">GBM</t>
  </si>
  <si>
    <t xml:space="preserve">BOBL 5Y</t>
  </si>
  <si>
    <t xml:space="preserve">GBS</t>
  </si>
  <si>
    <t xml:space="preserve">SCHATZ 2Y</t>
  </si>
  <si>
    <t xml:space="preserve">IGB</t>
  </si>
  <si>
    <t xml:space="preserve">BTP 10Y</t>
  </si>
  <si>
    <t xml:space="preserve">OAT</t>
  </si>
  <si>
    <t xml:space="preserve">OAT 10Y</t>
  </si>
  <si>
    <t xml:space="preserve">  BOOK DE POSITIONS FUTURES  (50 slots  |  colonnes bleues = saisie)</t>
  </si>
  <si>
    <t xml:space="preserve">Dir.</t>
  </si>
  <si>
    <t xml:space="preserve">Nb lots</t>
  </si>
  <si>
    <t xml:space="preserve">Prix achat</t>
  </si>
  <si>
    <t xml:space="preserve">Prix actuel</t>
  </si>
  <si>
    <t xml:space="preserve">Var(%)</t>
  </si>
  <si>
    <t xml:space="preserve">DV01 net(€)</t>
  </si>
  <si>
    <t xml:space="preserve">Gamma(€/pb²)</t>
  </si>
  <si>
    <t xml:space="preserve">Carry/j(€)</t>
  </si>
  <si>
    <t xml:space="preserve">P&amp;L Total(€)</t>
  </si>
  <si>
    <t xml:space="preserve">Greeks</t>
  </si>
  <si>
    <t xml:space="preserve">FT-001</t>
  </si>
  <si>
    <t xml:space="preserve">ER3M</t>
  </si>
  <si>
    <t xml:space="preserve">LONG</t>
  </si>
  <si>
    <t xml:space="preserve">FT-002</t>
  </si>
  <si>
    <t xml:space="preserve">BOND</t>
  </si>
  <si>
    <t xml:space="preserve">SHORT</t>
  </si>
  <si>
    <t xml:space="preserve">FT-003</t>
  </si>
  <si>
    <t xml:space="preserve">  TOTAUX BOOK FUTURES</t>
  </si>
  <si>
    <t xml:space="preserve">STRATÉGIES FUTURES  ·  BOX · SNAKE · CALENDAR · TED · HEDGE IRS/FUT · CONDOR · BASIS</t>
  </si>
  <si>
    <t xml:space="preserve">  Simulateur de stratégies sur futures Euro  |  Taux importés de FUTURES  |  P&amp;L et DV01 nets calculés automatiquement</t>
  </si>
  <si>
    <t xml:space="preserve">  ① CALENDAR SPREAD — Achat/vente de 2 échéances consécutives</t>
  </si>
  <si>
    <t xml:space="preserve">  ② BOX SPREAD (4 pattes) — Court 1 spread + Long 1 spread décalé</t>
  </si>
  <si>
    <t xml:space="preserve">Paramètre</t>
  </si>
  <si>
    <t xml:space="preserve">Jambe Courte</t>
  </si>
  <si>
    <t xml:space="preserve">Jambe Longue</t>
  </si>
  <si>
    <t xml:space="preserve">Différence</t>
  </si>
  <si>
    <t xml:space="preserve">Unité</t>
  </si>
  <si>
    <t xml:space="preserve">Leg1 (L-S)</t>
  </si>
  <si>
    <t xml:space="preserve">Leg2 (S-L)</t>
  </si>
  <si>
    <t xml:space="preserve">Net Box</t>
  </si>
  <si>
    <t xml:space="preserve">Contrat N+1 - N</t>
  </si>
  <si>
    <t xml:space="preserve">-</t>
  </si>
  <si>
    <t xml:space="preserve">Contrat Leg1 (achat)</t>
  </si>
  <si>
    <t xml:space="preserve">Contrat Leg2 (vente)</t>
  </si>
  <si>
    <t xml:space="preserve">Contrat Leg3 (vente)</t>
  </si>
  <si>
    <t xml:space="preserve">Contrat Leg4 (achat)</t>
  </si>
  <si>
    <t xml:space="preserve">Spread 1-2 (pb)</t>
  </si>
  <si>
    <t xml:space="preserve">Spread 3-4 (pb)</t>
  </si>
  <si>
    <t xml:space="preserve">Box Value (pb)</t>
  </si>
  <si>
    <t xml:space="preserve">P&amp;L +10pb court</t>
  </si>
  <si>
    <t xml:space="preserve">DV01 net (€)</t>
  </si>
  <si>
    <t xml:space="preserve">P&amp;L +10pb long</t>
  </si>
  <si>
    <t xml:space="preserve">P&amp;L Box /pb</t>
  </si>
  <si>
    <t xml:space="preserve">  ③ SNAKE / STRIP — Position directionnelle sur N échéances consécutives</t>
  </si>
  <si>
    <t xml:space="preserve">  ④ CONDOR — 4 échéances (sell 2 belly, buy 2 wings)</t>
  </si>
  <si>
    <t xml:space="preserve">Taux%</t>
  </si>
  <si>
    <t xml:space="preserve">DV01(€)</t>
  </si>
  <si>
    <t xml:space="preserve">P&amp;L/1pb(€)</t>
  </si>
  <si>
    <t xml:space="preserve">Position</t>
  </si>
  <si>
    <t xml:space="preserve">Lots</t>
  </si>
  <si>
    <t xml:space="preserve">BUY Wing1</t>
  </si>
  <si>
    <t xml:space="preserve">Long vol</t>
  </si>
  <si>
    <t xml:space="preserve">SELL Body1</t>
  </si>
  <si>
    <t xml:space="preserve">Short vol</t>
  </si>
  <si>
    <t xml:space="preserve">SELL Body2</t>
  </si>
  <si>
    <t xml:space="preserve">BUY Wing2</t>
  </si>
  <si>
    <t xml:space="preserve">TOTAL CONDOR</t>
  </si>
  <si>
    <t xml:space="preserve">Net condor DV01</t>
  </si>
  <si>
    <t xml:space="preserve">TOTAL SNAKE</t>
  </si>
  <si>
    <t xml:space="preserve">  ⑤ TED SPREAD — Euribor 3M Futures vs €STR IRS (Basis)</t>
  </si>
  <si>
    <t xml:space="preserve">  ⑥ HEDGE IRS / FUTURES — Couverture DV01 d'un IRS par futures</t>
  </si>
  <si>
    <t xml:space="preserve">Futures ER3M</t>
  </si>
  <si>
    <t xml:space="preserve">IRS €STR</t>
  </si>
  <si>
    <t xml:space="preserve">TED Spread</t>
  </si>
  <si>
    <t xml:space="preserve">IRS</t>
  </si>
  <si>
    <t xml:space="preserve">Futures</t>
  </si>
  <si>
    <t xml:space="preserve">Net Hedge</t>
  </si>
  <si>
    <t xml:space="preserve">Maturité</t>
  </si>
  <si>
    <t xml:space="preserve">Y</t>
  </si>
  <si>
    <t xml:space="preserve">Type IRS à hedger</t>
  </si>
  <si>
    <t xml:space="preserve">ESTER PAY 10Y</t>
  </si>
  <si>
    <t xml:space="preserve">Taux/Prix%</t>
  </si>
  <si>
    <t xml:space="preserve">pb</t>
  </si>
  <si>
    <t xml:space="preserve">Notionnel IRS (M€)</t>
  </si>
  <si>
    <t xml:space="preserve">Nb lots/Notionnel</t>
  </si>
  <si>
    <t xml:space="preserve">DV01 IRS (€)</t>
  </si>
  <si>
    <t xml:space="preserve">€</t>
  </si>
  <si>
    <t xml:space="preserve">Contrat futures</t>
  </si>
  <si>
    <t xml:space="preserve">TED value(pb)</t>
  </si>
  <si>
    <t xml:space="preserve">DV01/lot futures (€)</t>
  </si>
  <si>
    <t xml:space="preserve">P&amp;L/1pb TED</t>
  </si>
  <si>
    <t xml:space="preserve">Nb lots optimal</t>
  </si>
  <si>
    <t xml:space="preserve">Carry net/j(€)</t>
  </si>
  <si>
    <t xml:space="preserve">DV01 hedge (€)</t>
  </si>
  <si>
    <t xml:space="preserve">Signal</t>
  </si>
  <si>
    <t xml:space="preserve">Résidu non-hedgé (€)</t>
  </si>
  <si>
    <t xml:space="preserve">Ratio de hedge %</t>
  </si>
  <si>
    <t xml:space="preserve">Efficacité hedge</t>
  </si>
  <si>
    <t xml:space="preserve">  ⑦ ROLL CALENDAR — Analyse du roll et coût de roll</t>
  </si>
  <si>
    <t xml:space="preserve">  ⑧ BASIS TRADE — Futures vs IRS (convergence basis)</t>
  </si>
  <si>
    <t xml:space="preserve">Front</t>
  </si>
  <si>
    <t xml:space="preserve">Back</t>
  </si>
  <si>
    <t xml:space="preserve">Roll</t>
  </si>
  <si>
    <t xml:space="preserve">Basis</t>
  </si>
  <si>
    <t xml:space="preserve">Front → Back</t>
  </si>
  <si>
    <t xml:space="preserve">Taux Futures%</t>
  </si>
  <si>
    <t xml:space="preserve">Taux IRS €STR%</t>
  </si>
  <si>
    <t xml:space="preserve">Roll (ticks)</t>
  </si>
  <si>
    <t xml:space="preserve">ticks</t>
  </si>
  <si>
    <t xml:space="preserve">Basis(pb)</t>
  </si>
  <si>
    <t xml:space="preserve">Coût roll/lot</t>
  </si>
  <si>
    <t xml:space="preserve">Basis hist.(pb)</t>
  </si>
  <si>
    <t xml:space="preserve">Nb jours roll</t>
  </si>
  <si>
    <t xml:space="preserve">jours</t>
  </si>
  <si>
    <t xml:space="preserve">Écart vs hist.</t>
  </si>
  <si>
    <t xml:space="preserve">Carry/jour</t>
  </si>
  <si>
    <t xml:space="preserve">€/j</t>
  </si>
  <si>
    <t xml:space="preserve">Roll DV01-neutre</t>
  </si>
  <si>
    <t xml:space="preserve">lots neutres</t>
  </si>
  <si>
    <t xml:space="preserve">DV01 basis</t>
  </si>
  <si>
    <t xml:space="preserve">P&amp;L conv.</t>
  </si>
  <si>
    <t xml:space="preserve">  ⑨ SYNTHÈSE RISQUE CONSOLIDÉ — IRS + FUTURES</t>
  </si>
  <si>
    <t xml:space="preserve">Carry/j (€)</t>
  </si>
  <si>
    <t xml:space="preserve">Nb positions</t>
  </si>
  <si>
    <t xml:space="preserve">% DV01 total</t>
  </si>
  <si>
    <t xml:space="preserve">IRS Euribor6M</t>
  </si>
  <si>
    <t xml:space="preserve">Futures Obligataires</t>
  </si>
  <si>
    <t xml:space="preserve">TOTAL CONSOLIDÉ</t>
  </si>
  <si>
    <t xml:space="preserve">SCÉNARIOS P&amp;L  ·  STRESS TESTS  ·  MATRICE BOOK × BUMPS</t>
  </si>
  <si>
    <t xml:space="preserve">  Impact des chocs de taux sur le DV01 global du book</t>
  </si>
  <si>
    <t xml:space="preserve">  SCÉNARIOS NOMMÉS — STRESS TESTS HISTORIQUES</t>
  </si>
  <si>
    <t xml:space="preserve">Scénario</t>
  </si>
  <si>
    <t xml:space="preserve">Δ Paral.(pb)</t>
  </si>
  <si>
    <t xml:space="preserve">Δ Tilt(pb/an)</t>
  </si>
  <si>
    <t xml:space="preserve">Δ Twist(pb)</t>
  </si>
  <si>
    <t xml:space="preserve">DV01 Book(€)</t>
  </si>
  <si>
    <t xml:space="preserve">P&amp;L Estimé(€)</t>
  </si>
  <si>
    <t xml:space="preserve">Impact 2Y</t>
  </si>
  <si>
    <t xml:space="preserve">Impact 10Y</t>
  </si>
  <si>
    <t xml:space="preserve">Impact 30Y</t>
  </si>
  <si>
    <t xml:space="preserve">VAR Impact</t>
  </si>
  <si>
    <t xml:space="preserve">Description</t>
  </si>
  <si>
    <t xml:space="preserve">COVID Mars 2020</t>
  </si>
  <si>
    <t xml:space="preserve">Fuite vers la qualité, courbe aplatie</t>
  </si>
  <si>
    <t xml:space="preserve">Taper Tantrum 2013</t>
  </si>
  <si>
    <t xml:space="preserve">Choc remontée taux, steepening</t>
  </si>
  <si>
    <t xml:space="preserve">SVB Crise 2023</t>
  </si>
  <si>
    <t xml:space="preserve">Risk-off, pivot BCE</t>
  </si>
  <si>
    <t xml:space="preserve">Guerre Ukraine 2022</t>
  </si>
  <si>
    <t xml:space="preserve">Inflation, hausse agressive BCE</t>
  </si>
  <si>
    <t xml:space="preserve">Post-COVID Rebound</t>
  </si>
  <si>
    <t xml:space="preserve">Reprise économique, steepening</t>
  </si>
  <si>
    <t xml:space="preserve">Crise Dette 2011</t>
  </si>
  <si>
    <t xml:space="preserve">Flight-to-quality, inversion</t>
  </si>
  <si>
    <t xml:space="preserve">Scenario Pivot BCE</t>
  </si>
  <si>
    <t xml:space="preserve">Anticipation baisse taux 2025</t>
  </si>
  <si>
    <t xml:space="preserve">Scenario Hausse ECB</t>
  </si>
  <si>
    <t xml:space="preserve">BCE hawkish inattendu</t>
  </si>
  <si>
    <t xml:space="preserve">User Scénario 1</t>
  </si>
  <si>
    <t xml:space="preserve">← Personnalisable</t>
  </si>
  <si>
    <t xml:space="preserve">User Scénario 2</t>
  </si>
  <si>
    <t xml:space="preserve">  MATRICE DV01 BOOK × BUMP PARALLÈLE (€)</t>
  </si>
  <si>
    <t xml:space="preserve">-100pb</t>
  </si>
  <si>
    <t xml:space="preserve">-50pb</t>
  </si>
  <si>
    <t xml:space="preserve">-25pb</t>
  </si>
  <si>
    <t xml:space="preserve">-10pb</t>
  </si>
  <si>
    <t xml:space="preserve">+0pb</t>
  </si>
  <si>
    <t xml:space="preserve">+10pb</t>
  </si>
  <si>
    <t xml:space="preserve">+25pb</t>
  </si>
  <si>
    <t xml:space="preserve">+50pb</t>
  </si>
  <si>
    <t xml:space="preserve">+100pb</t>
  </si>
  <si>
    <t xml:space="preserve">6-10Y</t>
  </si>
  <si>
    <t xml:space="preserve">11-20Y</t>
  </si>
  <si>
    <t xml:space="preserve">31Y+</t>
  </si>
  <si>
    <t xml:space="preserve">PARAMÈTRES GLOBAUX &amp; DONNÉES PCA</t>
  </si>
  <si>
    <t xml:space="preserve">  LIMITES DE RISQUE</t>
  </si>
  <si>
    <t xml:space="preserve">Vol histor. €STR (pb/an)</t>
  </si>
  <si>
    <t xml:space="preserve">← modifier selon limites desk</t>
  </si>
  <si>
    <t xml:space="preserve">Limite DV01 total (€)</t>
  </si>
  <si>
    <t xml:space="preserve">Limite VAR 99% 1J (€)</t>
  </si>
  <si>
    <t xml:space="preserve">Nb max trades</t>
  </si>
  <si>
    <t xml:space="preserve">Horizon VAR (jours)</t>
  </si>
  <si>
    <t xml:space="preserve">Confidence VAR</t>
  </si>
  <si>
    <t xml:space="preserve">z-score (99%)</t>
  </si>
  <si>
    <t xml:space="preserve">  DONNÉES PCA — EIGENVALUES &amp; VARIANCE EXPLIQUÉE</t>
  </si>
  <si>
    <t xml:space="preserve">Piliers</t>
  </si>
  <si>
    <t xml:space="preserve">PC1 λ</t>
  </si>
  <si>
    <t xml:space="preserve">PC2 λ</t>
  </si>
  <si>
    <t xml:space="preserve">PC3 λ</t>
  </si>
  <si>
    <t xml:space="preserve">% PC1+2+3 cumulé</t>
  </si>
  <si>
    <t xml:space="preserve">ILLIQUIDE [2Y·10Y·30Y]</t>
  </si>
  <si>
    <t xml:space="preserve">INTERMÉDIAIRE [2Y·5Y·10Y·20Y·30Y]</t>
  </si>
  <si>
    <t xml:space="preserve">LIQUIDE [1Y·2Y·5Y·10Y·20Y·30Y·50Y]</t>
  </si>
  <si>
    <t xml:space="preserve">  LÉGENDE COULEURS</t>
  </si>
  <si>
    <t xml:space="preserve">Bleu</t>
  </si>
  <si>
    <t xml:space="preserve">Cellule de saisie — valeur à modifier</t>
  </si>
  <si>
    <t xml:space="preserve">Noir</t>
  </si>
  <si>
    <t xml:space="preserve">Formule calculée — ne pas modifier</t>
  </si>
  <si>
    <t xml:space="preserve">Vert</t>
  </si>
  <si>
    <t xml:space="preserve">Lien inter-onglet / résultat positif</t>
  </si>
  <si>
    <t xml:space="preserve">Or/Jaune</t>
  </si>
  <si>
    <t xml:space="preserve">KPI important</t>
  </si>
  <si>
    <t xml:space="preserve">Rouge</t>
  </si>
  <si>
    <t xml:space="preserve">Résultat négatif / alerte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</si>
</sst>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\€#,##0;&quot;(€&quot;#,##0\)"/>
    <numFmt numFmtId="166" formatCode="\€#,##0;&quot;(€&quot;#,##0\)"/>
    <numFmt numFmtId="167" formatCode="0"/>
    <numFmt numFmtId="168" formatCode="0.000%"/>
    <numFmt numFmtId="169" formatCode="0.0"/>
    <numFmt numFmtId="170" formatCode="0.00"/>
    <numFmt numFmtId="171" formatCode="0.000000"/>
    <numFmt numFmtId="172" formatCode="0.00&quot;pb&quot;"/>
    <numFmt numFmtId="173" formatCode="0.0&quot;pb&quot;"/>
    <numFmt numFmtId="174" formatCode="0.00%"/>
    <numFmt numFmtId="175" formatCode="#,##0.00"/>
    <numFmt numFmtId="176" formatCode="0\Y"/>
    <numFmt numFmtId="177" formatCode="0.0000%"/>
    <numFmt numFmtId="178" formatCode="0.0000"/>
    <numFmt numFmtId="179" formatCode="\€#,##0"/>
    <numFmt numFmtId="180" formatCode="#,##0.0"/>
    <numFmt numFmtId="181" formatCode="#,##0"/>
    <numFmt numFmtId="182" formatCode="0.000"/>
    <numFmt numFmtId="183" formatCode="0.0%"/>
    <numFmt numFmtId="184" formatCode="\€#,##0"/>
    <numFmt numFmtId="185" formatCode="0.00\%"/>
    <numFmt numFmtId="186" formatCode="0.00&quot;ticks&quot;"/>
    <numFmt numFmtId="187" formatCode="General"/>
    <numFmt numFmtId="188" formatCode="@"/>
    <numFmt numFmtId="189" formatCode="0.0&quot;ticks&quot;"/>
    <numFmt numFmtId="190" formatCode="0&quot;pb&quot;"/>
    <numFmt numFmtId="191" formatCode="\€#,##0.00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42A5F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546E7A"/>
      <name val="Calibri"/>
      <family val="0"/>
      <charset val="1"/>
    </font>
    <font>
      <b val="true"/>
      <sz val="13"/>
      <color rgb="FF0A162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0A1628"/>
      <name val="Calibri"/>
      <family val="0"/>
      <charset val="1"/>
    </font>
    <font>
      <sz val="10"/>
      <color rgb="FF1B5E20"/>
      <name val="Calibri"/>
      <family val="0"/>
      <charset val="1"/>
    </font>
    <font>
      <sz val="10"/>
      <color rgb="FF263238"/>
      <name val="Calibri"/>
      <family val="0"/>
      <charset val="1"/>
    </font>
    <font>
      <b val="true"/>
      <sz val="10"/>
      <color rgb="FF263238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263238"/>
      <name val="Calibri"/>
      <family val="0"/>
      <charset val="1"/>
    </font>
    <font>
      <sz val="10"/>
      <color rgb="FF1565C0"/>
      <name val="Calibri"/>
      <family val="0"/>
      <charset val="1"/>
    </font>
    <font>
      <sz val="9"/>
      <color rgb="FF546E7A"/>
      <name val="Calibri"/>
      <family val="0"/>
      <charset val="1"/>
    </font>
    <font>
      <sz val="9"/>
      <color rgb="FF1B5E20"/>
      <name val="Calibri"/>
      <family val="0"/>
      <charset val="1"/>
    </font>
    <font>
      <b val="true"/>
      <sz val="9"/>
      <color rgb="FF546E7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0F2D54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546E7A"/>
      <name val="Calibri"/>
      <family val="0"/>
      <charset val="1"/>
    </font>
    <font>
      <b val="true"/>
      <sz val="10"/>
      <color rgb="FF0A1628"/>
      <name val="Calibri"/>
      <family val="0"/>
      <charset val="1"/>
    </font>
    <font>
      <b val="true"/>
      <sz val="10"/>
      <color rgb="FF0F2D54"/>
      <name val="Calibri"/>
      <family val="0"/>
      <charset val="1"/>
    </font>
    <font>
      <b val="true"/>
      <sz val="10"/>
      <color rgb="FF0060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546E7A"/>
      <name val="Calibri"/>
      <family val="0"/>
      <charset val="1"/>
    </font>
    <font>
      <i val="true"/>
      <sz val="9"/>
      <color rgb="FFBBDEF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sz val="9"/>
      <color rgb="FFECEFF1"/>
      <name val="Calibri"/>
      <family val="0"/>
      <charset val="1"/>
    </font>
    <font>
      <b val="true"/>
      <sz val="9"/>
      <color rgb="FFFFF9C4"/>
      <name val="Calibri"/>
      <family val="0"/>
      <charset val="1"/>
    </font>
    <font>
      <sz val="9"/>
      <color rgb="FF263238"/>
      <name val="Calibri"/>
      <family val="0"/>
      <charset val="1"/>
    </font>
    <font>
      <b val="true"/>
      <sz val="9"/>
      <color rgb="FFFF8F00"/>
      <name val="Calibri"/>
      <family val="0"/>
      <charset val="1"/>
    </font>
    <font>
      <b val="true"/>
      <sz val="10"/>
      <color rgb="FFB8860B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sz val="10"/>
      <color rgb="FF0A1628"/>
      <name val="Calibri"/>
      <family val="0"/>
      <charset val="1"/>
    </font>
    <font>
      <sz val="10"/>
      <color rgb="FF0F2D54"/>
      <name val="Calibri"/>
      <family val="0"/>
      <charset val="1"/>
    </font>
    <font>
      <b val="true"/>
      <sz val="10"/>
      <color rgb="FF1565C0"/>
      <name val="Calibri"/>
      <family val="0"/>
      <charset val="1"/>
    </font>
    <font>
      <b val="true"/>
      <sz val="10"/>
      <color rgb="FF1976D2"/>
      <name val="Calibri"/>
      <family val="0"/>
      <charset val="1"/>
    </font>
    <font>
      <sz val="10"/>
      <color rgb="FF1976D2"/>
      <name val="Calibri"/>
      <family val="0"/>
      <charset val="1"/>
    </font>
    <font>
      <sz val="10"/>
      <color rgb="FF006064"/>
      <name val="Calibri"/>
      <family val="0"/>
      <charset val="1"/>
    </font>
    <font>
      <b val="true"/>
      <sz val="11"/>
      <color rgb="FF1B5E20"/>
      <name val="Calibri"/>
      <family val="0"/>
      <charset val="1"/>
    </font>
    <font>
      <b val="true"/>
      <sz val="12"/>
      <color rgb="FF0A1628"/>
      <name val="Calibri"/>
      <family val="0"/>
      <charset val="1"/>
    </font>
    <font>
      <i val="true"/>
      <sz val="8"/>
      <color rgb="FF546E7A"/>
      <name val="Calibri"/>
      <family val="0"/>
      <charset val="1"/>
    </font>
    <font>
      <b val="true"/>
      <sz val="10"/>
      <color rgb="FF1B5E20"/>
      <name val="Calibri"/>
      <family val="0"/>
      <charset val="1"/>
    </font>
    <font>
      <i val="true"/>
      <sz val="9"/>
      <color rgb="FF263238"/>
      <name val="Calibri"/>
      <family val="0"/>
      <charset val="1"/>
    </font>
    <font>
      <b val="true"/>
      <sz val="10"/>
      <color rgb="FFE53935"/>
      <name val="Calibri"/>
      <family val="0"/>
      <charset val="1"/>
    </font>
    <font>
      <b val="true"/>
      <sz val="10"/>
      <color rgb="FFFF8F00"/>
      <name val="Calibri"/>
      <family val="0"/>
      <charset val="1"/>
    </font>
    <font>
      <sz val="10"/>
      <color rgb="FFFF8F00"/>
      <name val="Calibri"/>
      <family val="0"/>
      <charset val="1"/>
    </font>
    <font>
      <b val="true"/>
      <sz val="12"/>
      <color rgb="FFE53935"/>
      <name val="Calibri"/>
      <family val="0"/>
      <charset val="1"/>
    </font>
    <font>
      <b val="true"/>
      <sz val="10"/>
      <color rgb="FF546E7A"/>
      <name val="Calibri"/>
      <family val="0"/>
      <charset val="1"/>
    </font>
    <font>
      <sz val="10"/>
      <color rgb="FFE53935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E65100"/>
      <name val="Calibri"/>
      <family val="0"/>
      <charset val="1"/>
    </font>
    <font>
      <sz val="8"/>
      <color rgb="FF263238"/>
      <name val="Calibri"/>
      <family val="0"/>
      <charset val="1"/>
    </font>
    <font>
      <b val="true"/>
      <sz val="10"/>
      <color rgb="FF4A0080"/>
      <name val="Calibri"/>
      <family val="0"/>
      <charset val="1"/>
    </font>
    <font>
      <sz val="9"/>
      <color rgb="FF4A0080"/>
      <name val="Calibri"/>
      <family val="0"/>
      <charset val="1"/>
    </font>
    <font>
      <sz val="9"/>
      <color rgb="FFB8860B"/>
      <name val="Calibri"/>
      <family val="0"/>
      <charset val="1"/>
    </font>
  </fonts>
  <fills count="105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0F2D54"/>
        <bgColor rgb="FF28353B"/>
      </patternFill>
    </fill>
    <fill>
      <patternFill patternType="solid">
        <fgColor rgb="FF1566C1"/>
        <bgColor rgb="FF1B74CF"/>
      </patternFill>
    </fill>
    <fill>
      <patternFill patternType="solid">
        <fgColor rgb="FFE3F3FD"/>
        <bgColor rgb="FFE3F2FD"/>
      </patternFill>
    </fill>
    <fill>
      <patternFill patternType="solid">
        <fgColor rgb="FFFFF9C4"/>
        <bgColor rgb="FFFFF8E1"/>
      </patternFill>
    </fill>
    <fill>
      <patternFill patternType="solid">
        <fgColor rgb="FF006064"/>
        <bgColor rgb="FF1B5F20"/>
      </patternFill>
    </fill>
    <fill>
      <patternFill patternType="solid">
        <fgColor rgb="FFF6F6F7"/>
        <bgColor rgb="FFF4F8FB"/>
      </patternFill>
    </fill>
    <fill>
      <patternFill patternType="solid">
        <fgColor rgb="FFFFFFFF"/>
        <bgColor rgb="FFFDFDFE"/>
      </patternFill>
    </fill>
    <fill>
      <patternFill patternType="solid">
        <fgColor rgb="FFFFF8E1"/>
        <bgColor rgb="FFFFF3E0"/>
      </patternFill>
    </fill>
    <fill>
      <patternFill patternType="solid">
        <fgColor rgb="FFEBF5FF"/>
        <bgColor rgb="FFEDF3FA"/>
      </patternFill>
    </fill>
    <fill>
      <patternFill patternType="solid">
        <fgColor rgb="FF1B74CF"/>
        <bgColor rgb="FF1566C1"/>
      </patternFill>
    </fill>
    <fill>
      <patternFill patternType="solid">
        <fgColor rgb="FFE8F5E9"/>
        <bgColor rgb="FFECEFF1"/>
      </patternFill>
    </fill>
    <fill>
      <patternFill patternType="solid">
        <fgColor rgb="FFB71C1C"/>
        <bgColor rgb="FFE03F3C"/>
      </patternFill>
    </fill>
    <fill>
      <patternFill patternType="solid">
        <fgColor rgb="FF577477"/>
        <bgColor rgb="FF3684DD"/>
      </patternFill>
    </fill>
    <fill>
      <patternFill patternType="darkGray">
        <fgColor rgb="FFDF8707"/>
        <bgColor rgb="FFFF8F00"/>
      </patternFill>
    </fill>
    <fill>
      <patternFill patternType="solid">
        <fgColor rgb="FF1B5F20"/>
        <bgColor rgb="FF1B5E20"/>
      </patternFill>
    </fill>
    <fill>
      <patternFill patternType="solid">
        <fgColor rgb="FF4A0080"/>
        <bgColor rgb="FF0A1628"/>
      </patternFill>
    </fill>
    <fill>
      <patternFill patternType="solid">
        <fgColor rgb="FFE65100"/>
        <bgColor rgb="FFE03F3C"/>
      </patternFill>
    </fill>
    <fill>
      <patternFill patternType="darkGray">
        <fgColor rgb="FF95BAE4"/>
        <bgColor rgb="FFB0BFC4"/>
      </patternFill>
    </fill>
    <fill>
      <patternFill patternType="solid">
        <fgColor rgb="FFF1F6FB"/>
        <bgColor rgb="FFF4F8FB"/>
      </patternFill>
    </fill>
    <fill>
      <patternFill patternType="solid">
        <fgColor rgb="FFE03F3C"/>
        <bgColor rgb="FFE65100"/>
      </patternFill>
    </fill>
    <fill>
      <patternFill patternType="solid">
        <fgColor rgb="FFD98484"/>
        <bgColor rgb="FFD77B7B"/>
      </patternFill>
    </fill>
    <fill>
      <patternFill patternType="solid">
        <fgColor rgb="FFE3EBE7"/>
        <bgColor rgb="FFE1ECF7"/>
      </patternFill>
    </fill>
    <fill>
      <patternFill patternType="solid">
        <fgColor rgb="FF6A9EDB"/>
        <bgColor rgb="FF5597E6"/>
      </patternFill>
    </fill>
    <fill>
      <patternFill patternType="darkGray">
        <fgColor rgb="FFEDF3FA"/>
        <bgColor rgb="FFEBF5FF"/>
      </patternFill>
    </fill>
    <fill>
      <patternFill patternType="darkGray">
        <fgColor rgb="FF577477"/>
        <bgColor rgb="FF86A888"/>
      </patternFill>
    </fill>
    <fill>
      <patternFill patternType="solid">
        <fgColor rgb="FFE8B1B1"/>
        <bgColor rgb="FFEBBEBE"/>
      </patternFill>
    </fill>
    <fill>
      <patternFill patternType="solid">
        <fgColor rgb="FFBED6F0"/>
        <bgColor rgb="FFBBDEFB"/>
      </patternFill>
    </fill>
    <fill>
      <patternFill patternType="darkGray">
        <fgColor rgb="FFFDECED"/>
        <bgColor rgb="FFFFEBEE"/>
      </patternFill>
    </fill>
    <fill>
      <patternFill patternType="solid">
        <fgColor rgb="FFB0BFC4"/>
        <bgColor rgb="FF95BAE4"/>
      </patternFill>
    </fill>
    <fill>
      <patternFill patternType="solid">
        <fgColor rgb="FFECEFF1"/>
        <bgColor rgb="FFEDF3FA"/>
      </patternFill>
    </fill>
    <fill>
      <patternFill patternType="darkGray">
        <fgColor rgb="FFE8B1B1"/>
        <bgColor rgb="FFEBBEBE"/>
      </patternFill>
    </fill>
    <fill>
      <patternFill patternType="solid">
        <fgColor rgb="FFB0BFC4"/>
        <bgColor rgb="FFBED6F0"/>
      </patternFill>
    </fill>
    <fill>
      <patternFill patternType="mediumGray">
        <fgColor rgb="FF95BAE4"/>
        <bgColor rgb="FF6A9EDB"/>
      </patternFill>
    </fill>
    <fill>
      <patternFill patternType="darkGray">
        <fgColor rgb="FFECEFF1"/>
        <bgColor rgb="FFE1ECF7"/>
      </patternFill>
    </fill>
    <fill>
      <patternFill patternType="solid">
        <fgColor rgb="FFF7F9FC"/>
        <bgColor rgb="FFF4F8FB"/>
      </patternFill>
    </fill>
    <fill>
      <patternFill patternType="darkGray">
        <fgColor rgb="FFD2E3F4"/>
        <bgColor rgb="FFCFD8DC"/>
      </patternFill>
    </fill>
    <fill>
      <patternFill patternType="mediumGray">
        <fgColor rgb="FFBED6F0"/>
        <bgColor rgb="FFB0BFC4"/>
      </patternFill>
    </fill>
    <fill>
      <patternFill patternType="solid">
        <fgColor rgb="FFFDECED"/>
        <bgColor rgb="FFFFEBEE"/>
      </patternFill>
    </fill>
    <fill>
      <patternFill patternType="darkGray">
        <fgColor rgb="FF5597E6"/>
        <bgColor rgb="FF6A9EDB"/>
      </patternFill>
    </fill>
    <fill>
      <patternFill patternType="solid">
        <fgColor rgb="FFE1ECF7"/>
        <bgColor rgb="FFE3EBE7"/>
      </patternFill>
    </fill>
    <fill>
      <patternFill patternType="mediumGray">
        <fgColor rgb="FFD77B7B"/>
        <bgColor rgb="FFCF6464"/>
      </patternFill>
    </fill>
    <fill>
      <patternFill patternType="darkGray">
        <fgColor rgb="FFE09797"/>
        <bgColor rgb="FFD98484"/>
      </patternFill>
    </fill>
    <fill>
      <patternFill patternType="mediumGray">
        <fgColor rgb="FF86A888"/>
        <bgColor rgb="FFB0BFC4"/>
      </patternFill>
    </fill>
    <fill>
      <patternFill patternType="darkGray">
        <fgColor rgb="FFE3EBE7"/>
        <bgColor rgb="FFECEFF1"/>
      </patternFill>
    </fill>
    <fill>
      <patternFill patternType="darkGray">
        <fgColor rgb="FF3684DD"/>
        <bgColor rgb="FF1B74CF"/>
      </patternFill>
    </fill>
    <fill>
      <patternFill patternType="solid">
        <fgColor rgb="FF95BAE4"/>
        <bgColor rgb="FFB0BFC4"/>
      </patternFill>
    </fill>
    <fill>
      <patternFill patternType="darkGray">
        <fgColor rgb="FFE1ECF7"/>
        <bgColor rgb="FFE3EBE7"/>
      </patternFill>
    </fill>
    <fill>
      <patternFill patternType="mediumGray">
        <fgColor rgb="FFEDF3FA"/>
        <bgColor rgb="FFF1F6FB"/>
      </patternFill>
    </fill>
    <fill>
      <patternFill patternType="solid">
        <fgColor rgb="FFD77B7B"/>
        <bgColor rgb="FFD98484"/>
      </patternFill>
    </fill>
    <fill>
      <patternFill patternType="solid">
        <fgColor rgb="FFFDECED"/>
        <bgColor rgb="FFFFEBEE"/>
      </patternFill>
    </fill>
    <fill>
      <patternFill patternType="darkGray">
        <fgColor rgb="FFE3EBE7"/>
        <bgColor rgb="FFE1ECF7"/>
      </patternFill>
    </fill>
    <fill>
      <patternFill patternType="darkGray">
        <fgColor rgb="FFCF6464"/>
        <bgColor rgb="FFE03F3C"/>
      </patternFill>
    </fill>
    <fill>
      <patternFill patternType="mediumGray">
        <fgColor rgb="FFF0CFCF"/>
        <bgColor rgb="FFEBBEBE"/>
      </patternFill>
    </fill>
    <fill>
      <patternFill patternType="solid">
        <fgColor rgb="FFD2E3F4"/>
        <bgColor rgb="FFCFD8DC"/>
      </patternFill>
    </fill>
    <fill>
      <patternFill patternType="darkGray">
        <fgColor rgb="FFE09797"/>
        <bgColor rgb="FFE8B1B1"/>
      </patternFill>
    </fill>
    <fill>
      <patternFill patternType="solid">
        <fgColor rgb="FF86A888"/>
        <bgColor rgb="FF6A9EDB"/>
      </patternFill>
    </fill>
    <fill>
      <patternFill patternType="solid">
        <fgColor rgb="FFF4DCDC"/>
        <bgColor rgb="FFF0CFCF"/>
      </patternFill>
    </fill>
    <fill>
      <patternFill patternType="solid">
        <fgColor rgb="FF86A888"/>
        <bgColor rgb="FFB0BFC4"/>
      </patternFill>
    </fill>
    <fill>
      <patternFill patternType="darkGray">
        <fgColor rgb="FFEBBEBE"/>
        <bgColor rgb="FFE8B1B1"/>
      </patternFill>
    </fill>
    <fill>
      <patternFill patternType="solid">
        <fgColor rgb="FFCFD8DC"/>
        <bgColor rgb="FFBED6F0"/>
      </patternFill>
    </fill>
    <fill>
      <patternFill patternType="darkGray">
        <fgColor rgb="FFCF6464"/>
        <bgColor rgb="FFD77B7B"/>
      </patternFill>
    </fill>
    <fill>
      <patternFill patternType="darkGray">
        <fgColor rgb="FFF0CFCF"/>
        <bgColor rgb="FFF4DCDC"/>
      </patternFill>
    </fill>
    <fill>
      <patternFill patternType="solid">
        <fgColor rgb="FF86A888"/>
        <bgColor rgb="FF6A9EDB"/>
      </patternFill>
    </fill>
    <fill>
      <patternFill patternType="solid">
        <fgColor rgb="FF3684DD"/>
        <bgColor rgb="FF5597E6"/>
      </patternFill>
    </fill>
    <fill>
      <patternFill patternType="mediumGray">
        <fgColor rgb="FFBED6F0"/>
        <bgColor rgb="FFCFD8DC"/>
      </patternFill>
    </fill>
    <fill>
      <patternFill patternType="mediumGray">
        <fgColor rgb="FF5597E6"/>
        <bgColor rgb="FF6A9EDB"/>
      </patternFill>
    </fill>
    <fill>
      <patternFill patternType="solid">
        <fgColor rgb="FFBED6F0"/>
        <bgColor rgb="FFBBDEFB"/>
      </patternFill>
    </fill>
    <fill>
      <patternFill patternType="solid">
        <fgColor rgb="FF95BAE4"/>
        <bgColor rgb="FFB0BFC4"/>
      </patternFill>
    </fill>
    <fill>
      <patternFill patternType="solid">
        <fgColor rgb="FF6A9EDB"/>
        <bgColor rgb="FF5597E6"/>
      </patternFill>
    </fill>
    <fill>
      <patternFill patternType="solid">
        <fgColor rgb="FFE1ECF7"/>
        <bgColor rgb="FFE3F2FD"/>
      </patternFill>
    </fill>
    <fill>
      <patternFill patternType="darkGray">
        <fgColor rgb="FFF4F8FB"/>
        <bgColor rgb="FFF1F6FB"/>
      </patternFill>
    </fill>
    <fill>
      <patternFill patternType="solid">
        <fgColor rgb="FFFDFDFE"/>
        <bgColor rgb="FFFFFFFF"/>
      </patternFill>
    </fill>
    <fill>
      <patternFill patternType="darkGray">
        <fgColor rgb="FFD98484"/>
        <bgColor rgb="FFD77B7B"/>
      </patternFill>
    </fill>
    <fill>
      <patternFill patternType="solid">
        <fgColor rgb="FFF0CFCF"/>
        <bgColor rgb="FFF4DCDC"/>
      </patternFill>
    </fill>
    <fill>
      <patternFill patternType="solid">
        <fgColor rgb="FFEBBEBE"/>
        <bgColor rgb="FFE8B1B1"/>
      </patternFill>
    </fill>
    <fill>
      <patternFill patternType="mediumGray">
        <fgColor rgb="FF1566C1"/>
        <bgColor rgb="FF1B74CF"/>
      </patternFill>
    </fill>
    <fill>
      <patternFill patternType="mediumGray">
        <fgColor rgb="FFF1F6FB"/>
        <bgColor rgb="FFF4F8FB"/>
      </patternFill>
    </fill>
    <fill>
      <patternFill patternType="mediumGray">
        <fgColor rgb="FFF4DCDC"/>
        <bgColor rgb="FFFDECED"/>
      </patternFill>
    </fill>
    <fill>
      <patternFill patternType="darkGray">
        <fgColor rgb="FFF6F6F7"/>
        <bgColor rgb="FFF4F8FB"/>
      </patternFill>
    </fill>
    <fill>
      <patternFill patternType="solid">
        <fgColor rgb="FFF6F6F7"/>
        <bgColor rgb="FFF4F8FB"/>
      </patternFill>
    </fill>
    <fill>
      <patternFill patternType="mediumGray">
        <fgColor rgb="FFE09797"/>
        <bgColor rgb="FFD98484"/>
      </patternFill>
    </fill>
    <fill>
      <patternFill patternType="darkGray">
        <fgColor rgb="FFCFD8DC"/>
        <bgColor rgb="FFD2E3F4"/>
      </patternFill>
    </fill>
    <fill>
      <patternFill patternType="darkGray">
        <fgColor rgb="FFD2E3F4"/>
        <bgColor rgb="FFE1ECF7"/>
      </patternFill>
    </fill>
    <fill>
      <patternFill patternType="mediumGray">
        <fgColor rgb="FFFAFBFD"/>
        <bgColor rgb="FFFDFDFE"/>
      </patternFill>
    </fill>
    <fill>
      <patternFill patternType="mediumGray">
        <fgColor rgb="FF86A888"/>
        <bgColor rgb="FF577477"/>
      </patternFill>
    </fill>
    <fill>
      <patternFill patternType="solid">
        <fgColor rgb="FFFAFBFD"/>
        <bgColor rgb="FFF7F9FC"/>
      </patternFill>
    </fill>
    <fill>
      <patternFill patternType="solid">
        <fgColor rgb="FFBED6F0"/>
        <bgColor rgb="FFBBDEFB"/>
      </patternFill>
    </fill>
    <fill>
      <patternFill patternType="darkGray">
        <fgColor rgb="FFFDFDFE"/>
        <bgColor rgb="FFFAFBFD"/>
      </patternFill>
    </fill>
    <fill>
      <patternFill patternType="darkGray">
        <fgColor rgb="FFE03F3C"/>
        <bgColor rgb="FFCF6464"/>
      </patternFill>
    </fill>
    <fill>
      <patternFill patternType="darkGray">
        <fgColor rgb="FFF4DCDC"/>
        <bgColor rgb="FFF0CFCF"/>
      </patternFill>
    </fill>
    <fill>
      <patternFill patternType="darkGray">
        <fgColor rgb="FFD2E3F4"/>
        <bgColor rgb="FFBBDEFB"/>
      </patternFill>
    </fill>
    <fill>
      <patternFill patternType="darkGray">
        <fgColor rgb="FFECEFF1"/>
        <bgColor rgb="FFEDF3FA"/>
      </patternFill>
    </fill>
    <fill>
      <patternFill patternType="mediumGray">
        <fgColor rgb="FFF4F8FB"/>
        <bgColor rgb="FFF7F9FC"/>
      </patternFill>
    </fill>
    <fill>
      <patternFill patternType="mediumGray">
        <fgColor rgb="FFEDF3FA"/>
        <bgColor rgb="FFECEFF1"/>
      </patternFill>
    </fill>
    <fill>
      <patternFill patternType="solid">
        <fgColor rgb="FFFFF3E0"/>
        <bgColor rgb="FFFFF8E1"/>
      </patternFill>
    </fill>
    <fill>
      <patternFill patternType="solid">
        <fgColor rgb="FFE3F2FD"/>
        <bgColor rgb="FFE3F3FD"/>
      </patternFill>
    </fill>
    <fill>
      <patternFill patternType="solid">
        <fgColor rgb="FFE0F7FA"/>
        <bgColor rgb="FFE3F3FD"/>
      </patternFill>
    </fill>
    <fill>
      <patternFill patternType="solid">
        <fgColor rgb="FFEDE7F6"/>
        <bgColor rgb="FFECEFF1"/>
      </patternFill>
    </fill>
    <fill>
      <patternFill patternType="solid">
        <fgColor rgb="FF1B5E20"/>
        <bgColor rgb="FF1B5F20"/>
      </patternFill>
    </fill>
    <fill>
      <patternFill patternType="solid">
        <fgColor rgb="FFFF8F00"/>
        <bgColor rgb="FFDF8707"/>
      </patternFill>
    </fill>
    <fill>
      <patternFill patternType="solid">
        <fgColor rgb="FFBBDEFB"/>
        <bgColor rgb="FFBED6F0"/>
      </patternFill>
    </fill>
    <fill>
      <patternFill patternType="solid">
        <fgColor rgb="FFDF8707"/>
        <bgColor rgb="FFFF8F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>
        <color rgb="FF3684DD"/>
      </left>
      <right style="thin">
        <color rgb="FF3684DD"/>
      </right>
      <top style="thin">
        <color rgb="FF3684DD"/>
      </top>
      <bottom style="thin">
        <color rgb="FF3684DD"/>
      </bottom>
      <diagonal/>
    </border>
    <border diagonalUp="false" diagonalDown="false">
      <left style="thin">
        <color rgb="FFB0BFC4"/>
      </left>
      <right style="thin">
        <color rgb="FFB0BFC4"/>
      </right>
      <top style="thin">
        <color rgb="FFB0BFC4"/>
      </top>
      <bottom style="thin">
        <color rgb="FFB0BFC4"/>
      </bottom>
      <diagonal/>
    </border>
    <border diagonalUp="false" diagonalDown="false">
      <left style="thin">
        <color rgb="FFB0BFC4"/>
      </left>
      <right style="thin">
        <color rgb="FFB0BFC4"/>
      </right>
      <top style="thin">
        <color rgb="FFB0BFC4"/>
      </top>
      <bottom style="medium">
        <color rgb="FFDF8707"/>
      </bottom>
      <diagonal/>
    </border>
    <border diagonalUp="false" diagonalDown="false">
      <left style="thin">
        <color rgb="FF0A1628"/>
      </left>
      <right style="thin">
        <color rgb="FF0A1628"/>
      </right>
      <top style="thin">
        <color rgb="FF0A1628"/>
      </top>
      <bottom style="thin">
        <color rgb="FF0A1628"/>
      </bottom>
      <diagonal/>
    </border>
    <border diagonalUp="false" diagonalDown="false">
      <left style="thin">
        <color rgb="FF0A1628"/>
      </left>
      <right/>
      <top style="thin">
        <color rgb="FF0A1628"/>
      </top>
      <bottom style="thin">
        <color rgb="FF0A1628"/>
      </bottom>
      <diagonal/>
    </border>
    <border diagonalUp="false" diagonalDown="false">
      <left style="thin">
        <color rgb="FFECEFF1"/>
      </left>
      <right style="thin">
        <color rgb="FFECEFF1"/>
      </right>
      <top style="thin">
        <color rgb="FFECEFF1"/>
      </top>
      <bottom style="thin">
        <color rgb="FFECEFF1"/>
      </bottom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medium">
        <color rgb="FFB71C1C"/>
      </left>
      <right style="thin">
        <color rgb="FFCFD8DC"/>
      </right>
      <top style="medium">
        <color rgb="FFB71C1C"/>
      </top>
      <bottom style="thin">
        <color rgb="FFCFD8DC"/>
      </bottom>
      <diagonal/>
    </border>
    <border diagonalUp="false" diagonalDown="false">
      <left style="thin">
        <color rgb="FFCFD8DC"/>
      </left>
      <right style="thin">
        <color rgb="FFCFD8DC"/>
      </right>
      <top style="medium">
        <color rgb="FFB71C1C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B71C1C"/>
      </right>
      <top style="medium">
        <color rgb="FFB71C1C"/>
      </top>
      <bottom style="thin">
        <color rgb="FFCFD8DC"/>
      </bottom>
      <diagonal/>
    </border>
    <border diagonalUp="false" diagonalDown="false">
      <left style="medium">
        <color rgb="FFB71C1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B71C1C"/>
      </right>
      <top style="thin">
        <color rgb="FFCFD8DC"/>
      </top>
      <bottom style="thin">
        <color rgb="FFCFD8DC"/>
      </bottom>
      <diagonal/>
    </border>
    <border diagonalUp="false" diagonalDown="false">
      <left style="medium">
        <color rgb="FFB71C1C"/>
      </left>
      <right style="thin">
        <color rgb="FFCFD8DC"/>
      </right>
      <top style="thin">
        <color rgb="FFCFD8DC"/>
      </top>
      <bottom style="medium">
        <color rgb="FFB71C1C"/>
      </bottom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medium">
        <color rgb="FFB71C1C"/>
      </bottom>
      <diagonal/>
    </border>
    <border diagonalUp="false" diagonalDown="false">
      <left style="thin">
        <color rgb="FFCFD8DC"/>
      </left>
      <right style="medium">
        <color rgb="FFB71C1C"/>
      </right>
      <top style="thin">
        <color rgb="FFCFD8DC"/>
      </top>
      <bottom style="medium">
        <color rgb="FFB71C1C"/>
      </bottom>
      <diagonal/>
    </border>
    <border diagonalUp="false" diagonalDown="false">
      <left style="thin">
        <color rgb="FF1B5F20"/>
      </left>
      <right style="thin">
        <color rgb="FF1B5F20"/>
      </right>
      <top style="thin">
        <color rgb="FF1B5F20"/>
      </top>
      <bottom style="thin">
        <color rgb="FF1B5F20"/>
      </bottom>
      <diagonal/>
    </border>
    <border diagonalUp="false" diagonalDown="false">
      <left style="thin">
        <color rgb="FFDF8707"/>
      </left>
      <right style="thin">
        <color rgb="FFDF8707"/>
      </right>
      <top style="thin">
        <color rgb="FFDF8707"/>
      </top>
      <bottom style="thin">
        <color rgb="FFDF8707"/>
      </bottom>
      <diagonal/>
    </border>
    <border diagonalUp="false" diagonalDown="false">
      <left style="medium">
        <color rgb="FF4A0080"/>
      </left>
      <right style="thin">
        <color rgb="FFCFD8DC"/>
      </right>
      <top style="medium">
        <color rgb="FF4A0080"/>
      </top>
      <bottom style="thin">
        <color rgb="FFCFD8DC"/>
      </bottom>
      <diagonal/>
    </border>
    <border diagonalUp="false" diagonalDown="false">
      <left style="thin">
        <color rgb="FFCFD8DC"/>
      </left>
      <right style="thin">
        <color rgb="FFCFD8DC"/>
      </right>
      <top style="medium">
        <color rgb="FF4A0080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4A0080"/>
      </right>
      <top style="medium">
        <color rgb="FF4A0080"/>
      </top>
      <bottom style="thin">
        <color rgb="FFCFD8DC"/>
      </bottom>
      <diagonal/>
    </border>
    <border diagonalUp="false" diagonalDown="false">
      <left style="medium">
        <color rgb="FF4A0080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4A0080"/>
      </right>
      <top style="thin">
        <color rgb="FFCFD8DC"/>
      </top>
      <bottom style="thin">
        <color rgb="FFCFD8DC"/>
      </bottom>
      <diagonal/>
    </border>
    <border diagonalUp="false" diagonalDown="false">
      <left style="medium">
        <color rgb="FF4A0080"/>
      </left>
      <right style="thin">
        <color rgb="FFCFD8DC"/>
      </right>
      <top style="thin">
        <color rgb="FFCFD8DC"/>
      </top>
      <bottom style="medium">
        <color rgb="FF4A0080"/>
      </bottom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medium">
        <color rgb="FF4A0080"/>
      </bottom>
      <diagonal/>
    </border>
    <border diagonalUp="false" diagonalDown="false">
      <left style="thin">
        <color rgb="FFCFD8DC"/>
      </left>
      <right style="medium">
        <color rgb="FF4A0080"/>
      </right>
      <top style="thin">
        <color rgb="FFCFD8DC"/>
      </top>
      <bottom style="medium">
        <color rgb="FF4A0080"/>
      </bottom>
      <diagonal/>
    </border>
    <border diagonalUp="false" diagonalDown="false">
      <left style="medium">
        <color rgb="FFE65100"/>
      </left>
      <right style="thin">
        <color rgb="FFCFD8DC"/>
      </right>
      <top style="medium">
        <color rgb="FFE65100"/>
      </top>
      <bottom style="thin">
        <color rgb="FFCFD8DC"/>
      </bottom>
      <diagonal/>
    </border>
    <border diagonalUp="false" diagonalDown="false">
      <left style="thin">
        <color rgb="FFCFD8DC"/>
      </left>
      <right style="thin">
        <color rgb="FFCFD8DC"/>
      </right>
      <top style="medium">
        <color rgb="FFE65100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E65100"/>
      </right>
      <top style="medium">
        <color rgb="FFE65100"/>
      </top>
      <bottom style="thin">
        <color rgb="FFCFD8DC"/>
      </bottom>
      <diagonal/>
    </border>
    <border diagonalUp="false" diagonalDown="false">
      <left style="medium">
        <color rgb="FFE65100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E65100"/>
      </right>
      <top style="thin">
        <color rgb="FFCFD8DC"/>
      </top>
      <bottom style="thin">
        <color rgb="FFCFD8DC"/>
      </bottom>
      <diagonal/>
    </border>
    <border diagonalUp="false" diagonalDown="false">
      <left style="medium">
        <color rgb="FFE65100"/>
      </left>
      <right style="thin">
        <color rgb="FFCFD8DC"/>
      </right>
      <top style="thin">
        <color rgb="FFCFD8DC"/>
      </top>
      <bottom style="medium">
        <color rgb="FFE65100"/>
      </bottom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medium">
        <color rgb="FFE65100"/>
      </bottom>
      <diagonal/>
    </border>
    <border diagonalUp="false" diagonalDown="false">
      <left style="thin">
        <color rgb="FFCFD8DC"/>
      </left>
      <right style="medium">
        <color rgb="FFE65100"/>
      </right>
      <top style="thin">
        <color rgb="FFCFD8DC"/>
      </top>
      <bottom style="medium">
        <color rgb="FFE65100"/>
      </bottom>
      <diagonal/>
    </border>
    <border diagonalUp="false" diagonalDown="false">
      <left style="medium">
        <color rgb="FF1B5F20"/>
      </left>
      <right style="thin">
        <color rgb="FFCFD8DC"/>
      </right>
      <top style="medium">
        <color rgb="FF1B5F20"/>
      </top>
      <bottom style="thin">
        <color rgb="FFCFD8DC"/>
      </bottom>
      <diagonal/>
    </border>
    <border diagonalUp="false" diagonalDown="false">
      <left style="thin">
        <color rgb="FFCFD8DC"/>
      </left>
      <right style="thin">
        <color rgb="FFCFD8DC"/>
      </right>
      <top style="medium">
        <color rgb="FF1B5F20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1B5F20"/>
      </right>
      <top style="medium">
        <color rgb="FF1B5F20"/>
      </top>
      <bottom style="thin">
        <color rgb="FFCFD8DC"/>
      </bottom>
      <diagonal/>
    </border>
    <border diagonalUp="false" diagonalDown="false">
      <left style="medium">
        <color rgb="FF1B5F20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 style="medium">
        <color rgb="FF1B5F20"/>
      </right>
      <top style="thin">
        <color rgb="FFCFD8DC"/>
      </top>
      <bottom style="thin">
        <color rgb="FFCFD8DC"/>
      </bottom>
      <diagonal/>
    </border>
    <border diagonalUp="false" diagonalDown="false">
      <left style="medium">
        <color rgb="FF1B5F20"/>
      </left>
      <right style="thin">
        <color rgb="FFCFD8DC"/>
      </right>
      <top style="thin">
        <color rgb="FFCFD8DC"/>
      </top>
      <bottom style="medium">
        <color rgb="FF1B5F20"/>
      </bottom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medium">
        <color rgb="FF1B5F20"/>
      </bottom>
      <diagonal/>
    </border>
    <border diagonalUp="false" diagonalDown="false">
      <left style="thin">
        <color rgb="FFCFD8DC"/>
      </left>
      <right style="medium">
        <color rgb="FF1B5F20"/>
      </right>
      <top style="thin">
        <color rgb="FFCFD8DC"/>
      </top>
      <bottom style="medium">
        <color rgb="FF1B5F20"/>
      </bottom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 style="thin">
        <color rgb="FFCFD8DC"/>
      </right>
      <top style="medium">
        <color rgb="FFDF8707"/>
      </top>
      <bottom style="medium">
        <color rgb="FFDF870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2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3" fillId="2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2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7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2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2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5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3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3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3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1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3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3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26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0" fillId="3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6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3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1" fillId="3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2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3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4" fillId="3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5" fillId="3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6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3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1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1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49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6" fillId="1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1" fillId="4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13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9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6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4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6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9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1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53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5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6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7" fillId="6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54" fillId="4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3" fillId="4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4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4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3" fillId="4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3" fillId="4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4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4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4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4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5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5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5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5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5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5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3" fillId="5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3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5" fillId="2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4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5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3" fillId="6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6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6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1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5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4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5" fillId="29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6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1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2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5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33" fillId="6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6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6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6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4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7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8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1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32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3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30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3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55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40" fillId="3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6" fillId="4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3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3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3" fillId="2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7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7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7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7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7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7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7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3" fillId="6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7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8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8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8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6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3" fillId="8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8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8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8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3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8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88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4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79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7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86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88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6" fillId="79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5" fillId="8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9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9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6" fillId="9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33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9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9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8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8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9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6" fillId="9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7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9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9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1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" fillId="4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49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2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9" fillId="6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2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6" fillId="9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32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2" fillId="32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5" fillId="32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9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30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2" fillId="9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30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9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9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9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0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7" fillId="6" borderId="4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10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2" fillId="9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10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0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0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10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3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8" fontId="26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1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9" fontId="1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9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9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6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1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9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0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0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2" fillId="10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2" fillId="10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10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3" fontId="12" fillId="9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3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0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8F5E9"/>
        </patternFill>
      </fill>
    </dxf>
    <dxf>
      <fill>
        <patternFill>
          <bgColor rgb="FFFFEBEE"/>
        </patternFill>
      </fill>
    </dxf>
  </dxfs>
  <colors>
    <indexedColors>
      <rgbColor rgb="FF000000"/>
      <rgbColor rgb="FFFFFFFF"/>
      <rgbColor rgb="FFD77B7B"/>
      <rgbColor rgb="FFE3EBE7"/>
      <rgbColor rgb="FFF4F8FB"/>
      <rgbColor rgb="FFFFF3E0"/>
      <rgbColor rgb="FFFFEBEE"/>
      <rgbColor rgb="FFE1ECF7"/>
      <rgbColor rgb="FFF1F6FB"/>
      <rgbColor rgb="FF1B5F20"/>
      <rgbColor rgb="FFFAFBFD"/>
      <rgbColor rgb="FFDF8707"/>
      <rgbColor rgb="FFEDF3FA"/>
      <rgbColor rgb="FF006064"/>
      <rgbColor rgb="FFB0BFC4"/>
      <rgbColor rgb="FF5597E6"/>
      <rgbColor rgb="FF6A9EDB"/>
      <rgbColor rgb="FFE03F3C"/>
      <rgbColor rgb="FFFFF9C4"/>
      <rgbColor rgb="FFE0F7FA"/>
      <rgbColor rgb="FF4A0080"/>
      <rgbColor rgb="FFD98484"/>
      <rgbColor rgb="FF1566C1"/>
      <rgbColor rgb="FFBED6F0"/>
      <rgbColor rgb="FFFDFDFE"/>
      <rgbColor rgb="FFFDECED"/>
      <rgbColor rgb="FFF4DCDC"/>
      <rgbColor rgb="FFE3F2FD"/>
      <rgbColor rgb="FFEBF5FF"/>
      <rgbColor rgb="FFF6F6F7"/>
      <rgbColor rgb="FFEDE7F6"/>
      <rgbColor rgb="FFF7F9FC"/>
      <rgbColor rgb="FFD2E3F4"/>
      <rgbColor rgb="FFE3F3FD"/>
      <rgbColor rgb="FFE8F5E9"/>
      <rgbColor rgb="FFFFF8E1"/>
      <rgbColor rgb="FF95BAE4"/>
      <rgbColor rgb="FFE8B1B1"/>
      <rgbColor rgb="FFE09797"/>
      <rgbColor rgb="FFEBBEBE"/>
      <rgbColor rgb="FF1B74CF"/>
      <rgbColor rgb="FFBBDEFB"/>
      <rgbColor rgb="FFCFD8DC"/>
      <rgbColor rgb="FFF0CFCF"/>
      <rgbColor rgb="FFFF8F00"/>
      <rgbColor rgb="FFE65100"/>
      <rgbColor rgb="FF577477"/>
      <rgbColor rgb="FF86A888"/>
      <rgbColor rgb="FF0F2D54"/>
      <rgbColor rgb="FF3684DD"/>
      <rgbColor rgb="FF0A1628"/>
      <rgbColor rgb="FF1B5E20"/>
      <rgbColor rgb="FFB71C1C"/>
      <rgbColor rgb="FFCF6464"/>
      <rgbColor rgb="FFECEFF1"/>
      <rgbColor rgb="FF2835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Courbe IRS Euro – €STR OIS &amp; Euribor 6M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"€STR Base"</c:f>
              <c:strCache>
                <c:ptCount val="1"/>
                <c:pt idx="0">
                  <c:v>€STR Base</c:v>
                </c:pt>
              </c:strCache>
            </c:strRef>
          </c:tx>
          <c:spPr>
            <a:solidFill>
              <a:srgbClr val="0f2d54"/>
            </a:solidFill>
            <a:ln w="21960">
              <a:solidFill>
                <a:srgbClr val="0f2d5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COURBE!$B$8:$B$27</c:f>
              <c:strCache>
                <c:ptCount val="2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  <c:pt idx="10">
                  <c:v>11Y</c:v>
                </c:pt>
                <c:pt idx="11">
                  <c:v>12Y</c:v>
                </c:pt>
                <c:pt idx="12">
                  <c:v>15Y</c:v>
                </c:pt>
                <c:pt idx="13">
                  <c:v>20Y</c:v>
                </c:pt>
                <c:pt idx="14">
                  <c:v>25Y</c:v>
                </c:pt>
                <c:pt idx="15">
                  <c:v>30Y</c:v>
                </c:pt>
                <c:pt idx="16">
                  <c:v>35Y</c:v>
                </c:pt>
                <c:pt idx="17">
                  <c:v>40Y</c:v>
                </c:pt>
                <c:pt idx="18">
                  <c:v>50Y</c:v>
                </c:pt>
                <c:pt idx="19">
                  <c:v>60Y</c:v>
                </c:pt>
              </c:strCache>
            </c:strRef>
          </c:cat>
          <c:val>
            <c:numRef>
              <c:f>COURBE!$C$8:$C$27</c:f>
              <c:numCache>
                <c:formatCode>0.000%</c:formatCode>
                <c:ptCount val="20"/>
                <c:pt idx="0">
                  <c:v>0.0355</c:v>
                </c:pt>
                <c:pt idx="1">
                  <c:v>0.032</c:v>
                </c:pt>
                <c:pt idx="2">
                  <c:v>0.0295</c:v>
                </c:pt>
                <c:pt idx="3">
                  <c:v>0.0278</c:v>
                </c:pt>
                <c:pt idx="4">
                  <c:v>0.0268</c:v>
                </c:pt>
                <c:pt idx="5">
                  <c:v>0.0261</c:v>
                </c:pt>
                <c:pt idx="6">
                  <c:v>0.0257</c:v>
                </c:pt>
                <c:pt idx="7">
                  <c:v>0.0254</c:v>
                </c:pt>
                <c:pt idx="8">
                  <c:v>0.0253</c:v>
                </c:pt>
                <c:pt idx="9">
                  <c:v>0.0252</c:v>
                </c:pt>
                <c:pt idx="10">
                  <c:v>0.0252</c:v>
                </c:pt>
                <c:pt idx="11">
                  <c:v>0.0253</c:v>
                </c:pt>
                <c:pt idx="12">
                  <c:v>0.0256</c:v>
                </c:pt>
                <c:pt idx="13">
                  <c:v>0.0255</c:v>
                </c:pt>
                <c:pt idx="14">
                  <c:v>0.025</c:v>
                </c:pt>
                <c:pt idx="15">
                  <c:v>0.0245</c:v>
                </c:pt>
                <c:pt idx="16">
                  <c:v>0.024</c:v>
                </c:pt>
                <c:pt idx="17">
                  <c:v>0.0237</c:v>
                </c:pt>
                <c:pt idx="18">
                  <c:v>0.023</c:v>
                </c:pt>
                <c:pt idx="19">
                  <c:v>0.0222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"E6M Base"</c:f>
              <c:strCache>
                <c:ptCount val="1"/>
                <c:pt idx="0">
                  <c:v>E6M Base</c:v>
                </c:pt>
              </c:strCache>
            </c:strRef>
          </c:tx>
          <c:spPr>
            <a:solidFill>
              <a:srgbClr val="b8860b"/>
            </a:solidFill>
            <a:ln w="21960">
              <a:solidFill>
                <a:srgbClr val="b8860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COURBE!$B$8:$B$27</c:f>
              <c:strCache>
                <c:ptCount val="2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  <c:pt idx="10">
                  <c:v>11Y</c:v>
                </c:pt>
                <c:pt idx="11">
                  <c:v>12Y</c:v>
                </c:pt>
                <c:pt idx="12">
                  <c:v>15Y</c:v>
                </c:pt>
                <c:pt idx="13">
                  <c:v>20Y</c:v>
                </c:pt>
                <c:pt idx="14">
                  <c:v>25Y</c:v>
                </c:pt>
                <c:pt idx="15">
                  <c:v>30Y</c:v>
                </c:pt>
                <c:pt idx="16">
                  <c:v>35Y</c:v>
                </c:pt>
                <c:pt idx="17">
                  <c:v>40Y</c:v>
                </c:pt>
                <c:pt idx="18">
                  <c:v>50Y</c:v>
                </c:pt>
                <c:pt idx="19">
                  <c:v>60Y</c:v>
                </c:pt>
              </c:strCache>
            </c:strRef>
          </c:cat>
          <c:val>
            <c:numRef>
              <c:f>COURBE!$D$8:$D$27</c:f>
              <c:numCache>
                <c:formatCode>0.000%</c:formatCode>
                <c:ptCount val="20"/>
                <c:pt idx="0">
                  <c:v>0.0365</c:v>
                </c:pt>
                <c:pt idx="1">
                  <c:v>0.033</c:v>
                </c:pt>
                <c:pt idx="2">
                  <c:v>0.0305</c:v>
                </c:pt>
                <c:pt idx="3">
                  <c:v>0.0288</c:v>
                </c:pt>
                <c:pt idx="4">
                  <c:v>0.0278</c:v>
                </c:pt>
                <c:pt idx="5">
                  <c:v>0.0271</c:v>
                </c:pt>
                <c:pt idx="6">
                  <c:v>0.0267</c:v>
                </c:pt>
                <c:pt idx="7">
                  <c:v>0.0264</c:v>
                </c:pt>
                <c:pt idx="8">
                  <c:v>0.0263</c:v>
                </c:pt>
                <c:pt idx="9">
                  <c:v>0.0262</c:v>
                </c:pt>
                <c:pt idx="10">
                  <c:v>0.0262</c:v>
                </c:pt>
                <c:pt idx="11">
                  <c:v>0.0263</c:v>
                </c:pt>
                <c:pt idx="12">
                  <c:v>0.0266</c:v>
                </c:pt>
                <c:pt idx="13">
                  <c:v>0.0265</c:v>
                </c:pt>
                <c:pt idx="14">
                  <c:v>0.026</c:v>
                </c:pt>
                <c:pt idx="15">
                  <c:v>0.0255</c:v>
                </c:pt>
                <c:pt idx="16">
                  <c:v>0.025</c:v>
                </c:pt>
                <c:pt idx="17">
                  <c:v>0.0247</c:v>
                </c:pt>
                <c:pt idx="18">
                  <c:v>0.024</c:v>
                </c:pt>
                <c:pt idx="19">
                  <c:v>0.0232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COURBE!$B$8:$B$27</c:f>
              <c:strCache>
                <c:ptCount val="2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  <c:pt idx="10">
                  <c:v>11Y</c:v>
                </c:pt>
                <c:pt idx="11">
                  <c:v>12Y</c:v>
                </c:pt>
                <c:pt idx="12">
                  <c:v>15Y</c:v>
                </c:pt>
                <c:pt idx="13">
                  <c:v>20Y</c:v>
                </c:pt>
                <c:pt idx="14">
                  <c:v>25Y</c:v>
                </c:pt>
                <c:pt idx="15">
                  <c:v>30Y</c:v>
                </c:pt>
                <c:pt idx="16">
                  <c:v>35Y</c:v>
                </c:pt>
                <c:pt idx="17">
                  <c:v>40Y</c:v>
                </c:pt>
                <c:pt idx="18">
                  <c:v>50Y</c:v>
                </c:pt>
                <c:pt idx="19">
                  <c:v>60Y</c:v>
                </c:pt>
              </c:strCache>
            </c:strRef>
          </c:cat>
          <c:val>
            <c:numRef>
              <c:f>COURBE!$H$8:$H$27</c:f>
              <c:numCache>
                <c:formatCode>0.000%</c:formatCode>
                <c:ptCount val="20"/>
                <c:pt idx="0">
                  <c:v>0.0355</c:v>
                </c:pt>
                <c:pt idx="1">
                  <c:v>0.032</c:v>
                </c:pt>
                <c:pt idx="2">
                  <c:v>0.0295</c:v>
                </c:pt>
                <c:pt idx="3">
                  <c:v>0.0278</c:v>
                </c:pt>
                <c:pt idx="4">
                  <c:v>0.0268</c:v>
                </c:pt>
                <c:pt idx="5">
                  <c:v>0.0261</c:v>
                </c:pt>
                <c:pt idx="6">
                  <c:v>0.0257</c:v>
                </c:pt>
                <c:pt idx="7">
                  <c:v>0.0254</c:v>
                </c:pt>
                <c:pt idx="8">
                  <c:v>0.0253</c:v>
                </c:pt>
                <c:pt idx="9">
                  <c:v>0.0252</c:v>
                </c:pt>
                <c:pt idx="10">
                  <c:v>0.0252</c:v>
                </c:pt>
                <c:pt idx="11">
                  <c:v>0.0253</c:v>
                </c:pt>
                <c:pt idx="12">
                  <c:v>0.0256</c:v>
                </c:pt>
                <c:pt idx="13">
                  <c:v>0.0255</c:v>
                </c:pt>
                <c:pt idx="14">
                  <c:v>0.025</c:v>
                </c:pt>
                <c:pt idx="15">
                  <c:v>0.0245</c:v>
                </c:pt>
                <c:pt idx="16">
                  <c:v>0.024</c:v>
                </c:pt>
                <c:pt idx="17">
                  <c:v>0.0237</c:v>
                </c:pt>
                <c:pt idx="18">
                  <c:v>0.023</c:v>
                </c:pt>
                <c:pt idx="19">
                  <c:v>0.0222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COURBE!$B$8:$B$27</c:f>
              <c:strCache>
                <c:ptCount val="2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  <c:pt idx="10">
                  <c:v>11Y</c:v>
                </c:pt>
                <c:pt idx="11">
                  <c:v>12Y</c:v>
                </c:pt>
                <c:pt idx="12">
                  <c:v>15Y</c:v>
                </c:pt>
                <c:pt idx="13">
                  <c:v>20Y</c:v>
                </c:pt>
                <c:pt idx="14">
                  <c:v>25Y</c:v>
                </c:pt>
                <c:pt idx="15">
                  <c:v>30Y</c:v>
                </c:pt>
                <c:pt idx="16">
                  <c:v>35Y</c:v>
                </c:pt>
                <c:pt idx="17">
                  <c:v>40Y</c:v>
                </c:pt>
                <c:pt idx="18">
                  <c:v>50Y</c:v>
                </c:pt>
                <c:pt idx="19">
                  <c:v>60Y</c:v>
                </c:pt>
              </c:strCache>
            </c:strRef>
          </c:cat>
          <c:val>
            <c:numRef>
              <c:f>COURBE!$I$8:$I$27</c:f>
              <c:numCache>
                <c:formatCode>0.000%</c:formatCode>
                <c:ptCount val="20"/>
                <c:pt idx="0">
                  <c:v>0.0365</c:v>
                </c:pt>
                <c:pt idx="1">
                  <c:v>0.033</c:v>
                </c:pt>
                <c:pt idx="2">
                  <c:v>0.0305</c:v>
                </c:pt>
                <c:pt idx="3">
                  <c:v>0.0288</c:v>
                </c:pt>
                <c:pt idx="4">
                  <c:v>0.0278</c:v>
                </c:pt>
                <c:pt idx="5">
                  <c:v>0.0271</c:v>
                </c:pt>
                <c:pt idx="6">
                  <c:v>0.0267</c:v>
                </c:pt>
                <c:pt idx="7">
                  <c:v>0.0264</c:v>
                </c:pt>
                <c:pt idx="8">
                  <c:v>0.0263</c:v>
                </c:pt>
                <c:pt idx="9">
                  <c:v>0.0262</c:v>
                </c:pt>
                <c:pt idx="10">
                  <c:v>0.0262</c:v>
                </c:pt>
                <c:pt idx="11">
                  <c:v>0.0263</c:v>
                </c:pt>
                <c:pt idx="12">
                  <c:v>0.0266</c:v>
                </c:pt>
                <c:pt idx="13">
                  <c:v>0.0265</c:v>
                </c:pt>
                <c:pt idx="14">
                  <c:v>0.026</c:v>
                </c:pt>
                <c:pt idx="15">
                  <c:v>0.0255</c:v>
                </c:pt>
                <c:pt idx="16">
                  <c:v>0.025</c:v>
                </c:pt>
                <c:pt idx="17">
                  <c:v>0.0247</c:v>
                </c:pt>
                <c:pt idx="18">
                  <c:v>0.024</c:v>
                </c:pt>
                <c:pt idx="19">
                  <c:v>0.0232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COURBE!$B$8:$B$27</c:f>
              <c:strCache>
                <c:ptCount val="2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  <c:pt idx="10">
                  <c:v>11Y</c:v>
                </c:pt>
                <c:pt idx="11">
                  <c:v>12Y</c:v>
                </c:pt>
                <c:pt idx="12">
                  <c:v>15Y</c:v>
                </c:pt>
                <c:pt idx="13">
                  <c:v>20Y</c:v>
                </c:pt>
                <c:pt idx="14">
                  <c:v>25Y</c:v>
                </c:pt>
                <c:pt idx="15">
                  <c:v>30Y</c:v>
                </c:pt>
                <c:pt idx="16">
                  <c:v>35Y</c:v>
                </c:pt>
                <c:pt idx="17">
                  <c:v>40Y</c:v>
                </c:pt>
                <c:pt idx="18">
                  <c:v>50Y</c:v>
                </c:pt>
                <c:pt idx="19">
                  <c:v>60Y</c:v>
                </c:pt>
              </c:strCache>
            </c:strRef>
          </c:cat>
          <c:val>
            <c:numRef>
              <c:f>COURBE!$J$8:$J$27</c:f>
              <c:numCache>
                <c:formatCode>0.000%</c:formatCode>
                <c:ptCount val="20"/>
                <c:pt idx="0">
                  <c:v>0.0355</c:v>
                </c:pt>
                <c:pt idx="1">
                  <c:v>0.0285118300338001</c:v>
                </c:pt>
                <c:pt idx="2">
                  <c:v>0.0245181539336206</c:v>
                </c:pt>
                <c:pt idx="3">
                  <c:v>0.0227168245934939</c:v>
                </c:pt>
                <c:pt idx="4">
                  <c:v>0.0228097200576107</c:v>
                </c:pt>
                <c:pt idx="5">
                  <c:v>0.0226071516580297</c:v>
                </c:pt>
                <c:pt idx="6">
                  <c:v>0.0233032724079798</c:v>
                </c:pt>
                <c:pt idx="7">
                  <c:v>0.0233024554220764</c:v>
                </c:pt>
                <c:pt idx="8">
                  <c:v>0.0245003510026263</c:v>
                </c:pt>
                <c:pt idx="9">
                  <c:v>0.0243004387817996</c:v>
                </c:pt>
                <c:pt idx="10">
                  <c:v>0.0251999999999999</c:v>
                </c:pt>
                <c:pt idx="11">
                  <c:v>0.0264006439861899</c:v>
                </c:pt>
                <c:pt idx="12">
                  <c:v>0.0268008780487428</c:v>
                </c:pt>
                <c:pt idx="13">
                  <c:v>0.0252000584985375</c:v>
                </c:pt>
                <c:pt idx="14">
                  <c:v>0.0230024366468833</c:v>
                </c:pt>
                <c:pt idx="15">
                  <c:v>0.02200365615792</c:v>
                </c:pt>
                <c:pt idx="16">
                  <c:v>0.0210051202847321</c:v>
                </c:pt>
                <c:pt idx="17">
                  <c:v>0.0216024594960726</c:v>
                </c:pt>
                <c:pt idx="18">
                  <c:v>0.0202047832866599</c:v>
                </c:pt>
                <c:pt idx="19">
                  <c:v>0.0182093743852338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569551"/>
        <c:axId val="62117231"/>
      </c:lineChart>
      <c:catAx>
        <c:axId val="345695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Maturité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17231"/>
        <c:crosses val="autoZero"/>
        <c:auto val="1"/>
        <c:lblAlgn val="ctr"/>
        <c:lblOffset val="100"/>
        <c:noMultiLvlLbl val="0"/>
      </c:catAx>
      <c:valAx>
        <c:axId val="62117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695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0</xdr:rowOff>
    </xdr:from>
    <xdr:to>
      <xdr:col>10</xdr:col>
      <xdr:colOff>915480</xdr:colOff>
      <xdr:row>61</xdr:row>
      <xdr:rowOff>64440</xdr:rowOff>
    </xdr:to>
    <xdr:graphicFrame>
      <xdr:nvGraphicFramePr>
        <xdr:cNvPr id="0" name="Chart 1"/>
        <xdr:cNvGraphicFramePr/>
      </xdr:nvGraphicFramePr>
      <xdr:xfrm>
        <a:off x="0" y="7915320"/>
        <a:ext cx="10078560" cy="53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2D54"/>
    <pageSetUpPr fitToPage="false"/>
  </sheetPr>
  <dimension ref="B1:K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5" min="3" style="1" width="16"/>
    <col collapsed="false" customWidth="true" hidden="false" outlineLevel="0" max="6" min="6" style="1" width="2"/>
    <col collapsed="false" customWidth="true" hidden="false" outlineLevel="0" max="7" min="7" style="1" width="20"/>
    <col collapsed="false" customWidth="true" hidden="false" outlineLevel="0" max="10" min="8" style="1" width="16"/>
    <col collapsed="false" customWidth="true" hidden="false" outlineLevel="0" max="11" min="11" style="1" width="2"/>
  </cols>
  <sheetData>
    <row r="1" customFormat="false" ht="42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</row>
    <row r="3" customFormat="false" ht="27.75" hidden="false" customHeight="true" outlineLevel="0" collapsed="false">
      <c r="B3" s="4" t="s">
        <v>2</v>
      </c>
      <c r="D3" s="4" t="s">
        <v>3</v>
      </c>
      <c r="G3" s="4" t="s">
        <v>4</v>
      </c>
      <c r="I3" s="4" t="s">
        <v>5</v>
      </c>
    </row>
    <row r="4" customFormat="false" ht="7.5" hidden="false" customHeight="true" outlineLevel="0" collapsed="false"/>
    <row r="5" customFormat="false" ht="21.75" hidden="false" customHeight="true" outlineLevel="0" collapsed="false">
      <c r="B5" s="5" t="s">
        <v>6</v>
      </c>
      <c r="C5" s="5"/>
      <c r="D5" s="5"/>
      <c r="E5" s="5"/>
      <c r="F5" s="5"/>
      <c r="G5" s="5"/>
      <c r="H5" s="5"/>
      <c r="I5" s="5"/>
      <c r="J5" s="5"/>
      <c r="K5" s="5"/>
    </row>
    <row r="6" customFormat="false" ht="24" hidden="false" customHeight="true" outlineLevel="0" collapsed="false">
      <c r="B6" s="6" t="s">
        <v>7</v>
      </c>
      <c r="C6" s="6" t="s">
        <v>8</v>
      </c>
      <c r="D6" s="6" t="s">
        <v>9</v>
      </c>
      <c r="E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</row>
    <row r="7" customFormat="false" ht="33.75" hidden="false" customHeight="true" outlineLevel="0" collapsed="false">
      <c r="B7" s="7" t="n">
        <f aca="false">IFERROR(SUM(BOOK!Q8:Q107)+FUTURES!K81,0)</f>
        <v>150310</v>
      </c>
      <c r="C7" s="7" t="n">
        <f aca="false">IFERROR(SUMIF(BOOK!F8:F107,"ESTER",BOOK!Q8:Q107),0)</f>
        <v>125000</v>
      </c>
      <c r="D7" s="7" t="n">
        <f aca="false">IFERROR(SUMIF(BOOK!F8:F107,"EURIB6M",BOOK!Q8:Q107),0)</f>
        <v>25000</v>
      </c>
      <c r="E7" s="8" t="n">
        <f aca="false">IFERROR(SUM(BOOK!Q8:Q107)+FUTURES!K81,0)*0.012</f>
        <v>1803.72</v>
      </c>
      <c r="G7" s="7" t="n">
        <f aca="false">IFERROR((SUM(BOOK!Q8:Q107)+FUTURES!K81)*2.33*PARAMS!C5/10000,0)</f>
        <v>2101.3338</v>
      </c>
      <c r="H7" s="7" t="n">
        <f aca="false">IFERROR(SUM(BOOK!U8:U107)/365,0)</f>
        <v>-100342.465753425</v>
      </c>
      <c r="I7" s="9" t="n">
        <f aca="false">COUNTA(BOOK!B8:B107)+COUNTA(FUTURES!C31:C80)</f>
        <v>6</v>
      </c>
      <c r="J7" s="7" t="n">
        <f aca="false">IFERROR(SUM(BOOK!V8:V107)+FUTURES!N81,0)</f>
        <v>0</v>
      </c>
    </row>
    <row r="8" customFormat="false" ht="7.5" hidden="false" customHeight="true" outlineLevel="0" collapsed="false"/>
    <row r="9" customFormat="false" ht="21.75" hidden="false" customHeight="true" outlineLevel="0" collapsed="false">
      <c r="B9" s="5" t="s">
        <v>15</v>
      </c>
      <c r="C9" s="5"/>
      <c r="D9" s="5"/>
      <c r="E9" s="5"/>
      <c r="F9" s="5"/>
      <c r="G9" s="5"/>
      <c r="H9" s="5"/>
      <c r="I9" s="5"/>
      <c r="J9" s="5"/>
      <c r="K9" s="5"/>
    </row>
    <row r="10" customFormat="false" ht="21.75" hidden="false" customHeight="true" outlineLevel="0" collapsed="false">
      <c r="B10" s="10" t="s">
        <v>16</v>
      </c>
      <c r="C10" s="10" t="s">
        <v>17</v>
      </c>
      <c r="D10" s="10" t="s">
        <v>18</v>
      </c>
      <c r="E10" s="10" t="s">
        <v>19</v>
      </c>
      <c r="G10" s="10" t="s">
        <v>20</v>
      </c>
      <c r="H10" s="10" t="s">
        <v>21</v>
      </c>
      <c r="I10" s="10" t="s">
        <v>22</v>
      </c>
      <c r="J10" s="10" t="s">
        <v>23</v>
      </c>
    </row>
    <row r="11" customFormat="false" ht="27.75" hidden="false" customHeight="true" outlineLevel="0" collapsed="false">
      <c r="B11" s="11" t="n">
        <f aca="false">IFERROR(SUMPRODUCT((BOOK!H8:H107&gt;=1)*(BOOK!H8:H107&lt;=3)*BOOK!Q8:Q107),0)</f>
        <v>0</v>
      </c>
      <c r="C11" s="11" t="n">
        <f aca="false">IFERROR(SUMPRODUCT((BOOK!H8:H107&gt;=4)*(BOOK!H8:H107&lt;=5)*BOOK!Q8:Q107),0)</f>
        <v>0</v>
      </c>
      <c r="D11" s="11" t="n">
        <f aca="false">IFERROR(SUMPRODUCT((BOOK!H8:H107&gt;=6)*(BOOK!H8:H107&lt;=7)*BOOK!Q8:Q107),0)</f>
        <v>0</v>
      </c>
      <c r="E11" s="11" t="n">
        <f aca="false">IFERROR(SUMPRODUCT((BOOK!H8:H107&gt;=8)*(BOOK!H8:H107&lt;=10)*BOOK!Q8:Q107),0)</f>
        <v>0</v>
      </c>
      <c r="G11" s="11" t="n">
        <f aca="false">IFERROR(SUMPRODUCT((BOOK!H8:H107&gt;=11)*(BOOK!H8:H107&lt;=15)*BOOK!Q8:Q107),0)</f>
        <v>0</v>
      </c>
      <c r="H11" s="11" t="n">
        <f aca="false">IFERROR(SUMPRODUCT((BOOK!H8:H107&gt;=16)*(BOOK!H8:H107&lt;=20)*BOOK!Q8:Q107),0)</f>
        <v>0</v>
      </c>
      <c r="I11" s="11" t="n">
        <f aca="false">IFERROR(SUMPRODUCT((BOOK!H8:H107&gt;=21)*(BOOK!H8:H107&lt;=30)*BOOK!Q8:Q107),0)</f>
        <v>0</v>
      </c>
      <c r="J11" s="11" t="n">
        <f aca="false">IFERROR(SUMPRODUCT((BOOK!H8:H107&gt;=31)*(BOOK!H8:H107&lt;=60)*BOOK!Q8:Q107),0)</f>
        <v>0</v>
      </c>
    </row>
    <row r="12" customFormat="false" ht="7.5" hidden="false" customHeight="true" outlineLevel="0" collapsed="false"/>
    <row r="13" customFormat="false" ht="21.75" hidden="false" customHeight="true" outlineLevel="0" collapsed="false">
      <c r="B13" s="5" t="s">
        <v>24</v>
      </c>
      <c r="C13" s="5"/>
      <c r="D13" s="5"/>
      <c r="E13" s="5"/>
      <c r="F13" s="5"/>
      <c r="G13" s="5"/>
      <c r="H13" s="5"/>
      <c r="I13" s="5"/>
      <c r="J13" s="5"/>
    </row>
    <row r="14" customFormat="false" ht="19.5" hidden="false" customHeight="true" outlineLevel="0" collapsed="false">
      <c r="B14" s="12" t="s">
        <v>25</v>
      </c>
      <c r="C14" s="12" t="s">
        <v>26</v>
      </c>
      <c r="D14" s="12" t="s">
        <v>27</v>
      </c>
      <c r="E14" s="12" t="s">
        <v>28</v>
      </c>
      <c r="F14" s="12" t="s">
        <v>29</v>
      </c>
      <c r="G14" s="12" t="s">
        <v>30</v>
      </c>
      <c r="H14" s="12" t="s">
        <v>31</v>
      </c>
      <c r="I14" s="12" t="s">
        <v>32</v>
      </c>
      <c r="J14" s="12" t="s">
        <v>33</v>
      </c>
      <c r="K14" s="12" t="s">
        <v>34</v>
      </c>
    </row>
    <row r="15" customFormat="false" ht="21.75" hidden="false" customHeight="true" outlineLevel="0" collapsed="false">
      <c r="B15" s="13" t="n">
        <f aca="false">COURBE!G8</f>
        <v>0</v>
      </c>
      <c r="C15" s="13" t="n">
        <f aca="false">COURBE!G9</f>
        <v>0</v>
      </c>
      <c r="D15" s="13" t="n">
        <f aca="false">COURBE!G10</f>
        <v>0</v>
      </c>
      <c r="E15" s="13" t="n">
        <f aca="false">COURBE!G12</f>
        <v>0</v>
      </c>
      <c r="F15" s="13" t="n">
        <f aca="false">COURBE!G14</f>
        <v>-0</v>
      </c>
      <c r="G15" s="13" t="n">
        <f aca="false">COURBE!G17</f>
        <v>-0</v>
      </c>
      <c r="H15" s="13" t="n">
        <f aca="false">COURBE!G20</f>
        <v>-0</v>
      </c>
      <c r="I15" s="13" t="n">
        <f aca="false">COURBE!G21</f>
        <v>0</v>
      </c>
      <c r="J15" s="13" t="n">
        <f aca="false">COURBE!G23</f>
        <v>0</v>
      </c>
      <c r="K15" s="13" t="n">
        <f aca="false">COURBE!G26</f>
        <v>0</v>
      </c>
    </row>
    <row r="16" customFormat="false" ht="7.5" hidden="false" customHeight="true" outlineLevel="0" collapsed="false"/>
    <row r="17" customFormat="false" ht="21.75" hidden="false" customHeight="true" outlineLevel="0" collapsed="false">
      <c r="B17" s="5" t="s">
        <v>35</v>
      </c>
      <c r="C17" s="5"/>
      <c r="D17" s="5"/>
      <c r="E17" s="5"/>
      <c r="F17" s="5"/>
      <c r="G17" s="5"/>
      <c r="H17" s="5"/>
      <c r="I17" s="5"/>
      <c r="J17" s="5"/>
    </row>
    <row r="18" customFormat="false" ht="21.75" hidden="false" customHeight="true" outlineLevel="0" collapsed="false">
      <c r="B18" s="10" t="s">
        <v>36</v>
      </c>
      <c r="C18" s="10" t="s">
        <v>37</v>
      </c>
      <c r="D18" s="10" t="s">
        <v>38</v>
      </c>
      <c r="E18" s="10" t="s">
        <v>39</v>
      </c>
      <c r="F18" s="10" t="s">
        <v>40</v>
      </c>
      <c r="G18" s="10" t="s">
        <v>41</v>
      </c>
      <c r="H18" s="10" t="s">
        <v>42</v>
      </c>
      <c r="I18" s="10" t="s">
        <v>43</v>
      </c>
    </row>
    <row r="19" customFormat="false" ht="19.5" hidden="false" customHeight="true" outlineLevel="0" collapsed="false">
      <c r="B19" s="14" t="str">
        <f aca="false">IFERROR(INDEX(BOOK!B$8:B$107,MATCH(LARGE(ABS(BOOK!$Q$8:$Q$107),1),ABS(BOOK!$Q$8:$Q$107),0)),"")</f>
        <v/>
      </c>
      <c r="C19" s="15" t="str">
        <f aca="false">IFERROR(INDEX(BOOK!C$8:C$107,MATCH(LARGE(ABS(BOOK!$Q$8:$Q$107),1),ABS(BOOK!$Q$8:$Q$107),0)),"")</f>
        <v/>
      </c>
      <c r="D19" s="15" t="str">
        <f aca="false">IFERROR(INDEX(BOOK!D$8:D$107,MATCH(LARGE(ABS(BOOK!$Q$8:$Q$107),1),ABS(BOOK!$Q$8:$Q$107),0)),"")</f>
        <v/>
      </c>
      <c r="E19" s="15" t="str">
        <f aca="false">IFERROR(INDEX(BOOK!F$8:F$107,MATCH(LARGE(ABS(BOOK!$Q$8:$Q$107),1),ABS(BOOK!$Q$8:$Q$107),0)),"")</f>
        <v/>
      </c>
      <c r="F19" s="15" t="str">
        <f aca="false">IFERROR(INDEX(BOOK!H$8:H$107,MATCH(LARGE(ABS(BOOK!$Q$8:$Q$107),1),ABS(BOOK!$Q$8:$Q$107),0)),"")</f>
        <v/>
      </c>
      <c r="G19" s="15" t="str">
        <f aca="false">IFERROR(INDEX(BOOK!I$8:I$107,MATCH(LARGE(ABS(BOOK!$Q$8:$Q$107),1),ABS(BOOK!$Q$8:$Q$107),0)),"")</f>
        <v/>
      </c>
      <c r="H19" s="16" t="str">
        <f aca="false">IFERROR(INDEX(BOOK!Q$8:Q$107,MATCH(LARGE(ABS(BOOK!$Q$8:$Q$107),1),ABS(BOOK!$Q$8:$Q$107),0)),"")</f>
        <v/>
      </c>
      <c r="I19" s="16" t="str">
        <f aca="false">IFERROR(INDEX(BOOK!V$8:V$107,MATCH(LARGE(ABS(BOOK!$Q$8:$Q$107),1),ABS(BOOK!$Q$8:$Q$107),0)),"")</f>
        <v/>
      </c>
    </row>
    <row r="20" customFormat="false" ht="19.5" hidden="false" customHeight="true" outlineLevel="0" collapsed="false">
      <c r="B20" s="17" t="str">
        <f aca="false">IFERROR(INDEX(BOOK!B$8:B$107,MATCH(LARGE(ABS(BOOK!$Q$8:$Q$107),2),ABS(BOOK!$Q$8:$Q$107),0)),"")</f>
        <v/>
      </c>
      <c r="C20" s="18" t="str">
        <f aca="false">IFERROR(INDEX(BOOK!C$8:C$107,MATCH(LARGE(ABS(BOOK!$Q$8:$Q$107),2),ABS(BOOK!$Q$8:$Q$107),0)),"")</f>
        <v/>
      </c>
      <c r="D20" s="18" t="str">
        <f aca="false">IFERROR(INDEX(BOOK!D$8:D$107,MATCH(LARGE(ABS(BOOK!$Q$8:$Q$107),2),ABS(BOOK!$Q$8:$Q$107),0)),"")</f>
        <v/>
      </c>
      <c r="E20" s="18" t="str">
        <f aca="false">IFERROR(INDEX(BOOK!F$8:F$107,MATCH(LARGE(ABS(BOOK!$Q$8:$Q$107),2),ABS(BOOK!$Q$8:$Q$107),0)),"")</f>
        <v/>
      </c>
      <c r="F20" s="18" t="str">
        <f aca="false">IFERROR(INDEX(BOOK!H$8:H$107,MATCH(LARGE(ABS(BOOK!$Q$8:$Q$107),2),ABS(BOOK!$Q$8:$Q$107),0)),"")</f>
        <v/>
      </c>
      <c r="G20" s="18" t="str">
        <f aca="false">IFERROR(INDEX(BOOK!I$8:I$107,MATCH(LARGE(ABS(BOOK!$Q$8:$Q$107),2),ABS(BOOK!$Q$8:$Q$107),0)),"")</f>
        <v/>
      </c>
      <c r="H20" s="19" t="str">
        <f aca="false">IFERROR(INDEX(BOOK!Q$8:Q$107,MATCH(LARGE(ABS(BOOK!$Q$8:$Q$107),2),ABS(BOOK!$Q$8:$Q$107),0)),"")</f>
        <v/>
      </c>
      <c r="I20" s="19" t="str">
        <f aca="false">IFERROR(INDEX(BOOK!V$8:V$107,MATCH(LARGE(ABS(BOOK!$Q$8:$Q$107),2),ABS(BOOK!$Q$8:$Q$107),0)),"")</f>
        <v/>
      </c>
    </row>
    <row r="21" customFormat="false" ht="19.5" hidden="false" customHeight="true" outlineLevel="0" collapsed="false">
      <c r="B21" s="14" t="str">
        <f aca="false">IFERROR(INDEX(BOOK!B$8:B$107,MATCH(LARGE(ABS(BOOK!$Q$8:$Q$107),3),ABS(BOOK!$Q$8:$Q$107),0)),"")</f>
        <v/>
      </c>
      <c r="C21" s="15" t="str">
        <f aca="false">IFERROR(INDEX(BOOK!C$8:C$107,MATCH(LARGE(ABS(BOOK!$Q$8:$Q$107),3),ABS(BOOK!$Q$8:$Q$107),0)),"")</f>
        <v/>
      </c>
      <c r="D21" s="15" t="str">
        <f aca="false">IFERROR(INDEX(BOOK!D$8:D$107,MATCH(LARGE(ABS(BOOK!$Q$8:$Q$107),3),ABS(BOOK!$Q$8:$Q$107),0)),"")</f>
        <v/>
      </c>
      <c r="E21" s="15" t="str">
        <f aca="false">IFERROR(INDEX(BOOK!F$8:F$107,MATCH(LARGE(ABS(BOOK!$Q$8:$Q$107),3),ABS(BOOK!$Q$8:$Q$107),0)),"")</f>
        <v/>
      </c>
      <c r="F21" s="15" t="str">
        <f aca="false">IFERROR(INDEX(BOOK!H$8:H$107,MATCH(LARGE(ABS(BOOK!$Q$8:$Q$107),3),ABS(BOOK!$Q$8:$Q$107),0)),"")</f>
        <v/>
      </c>
      <c r="G21" s="15" t="str">
        <f aca="false">IFERROR(INDEX(BOOK!I$8:I$107,MATCH(LARGE(ABS(BOOK!$Q$8:$Q$107),3),ABS(BOOK!$Q$8:$Q$107),0)),"")</f>
        <v/>
      </c>
      <c r="H21" s="16" t="str">
        <f aca="false">IFERROR(INDEX(BOOK!Q$8:Q$107,MATCH(LARGE(ABS(BOOK!$Q$8:$Q$107),3),ABS(BOOK!$Q$8:$Q$107),0)),"")</f>
        <v/>
      </c>
      <c r="I21" s="16" t="str">
        <f aca="false">IFERROR(INDEX(BOOK!V$8:V$107,MATCH(LARGE(ABS(BOOK!$Q$8:$Q$107),3),ABS(BOOK!$Q$8:$Q$107),0)),"")</f>
        <v/>
      </c>
    </row>
    <row r="22" customFormat="false" ht="19.5" hidden="false" customHeight="true" outlineLevel="0" collapsed="false">
      <c r="B22" s="17" t="str">
        <f aca="false">IFERROR(INDEX(BOOK!B$8:B$107,MATCH(LARGE(ABS(BOOK!$Q$8:$Q$107),4),ABS(BOOK!$Q$8:$Q$107),0)),"")</f>
        <v/>
      </c>
      <c r="C22" s="18" t="str">
        <f aca="false">IFERROR(INDEX(BOOK!C$8:C$107,MATCH(LARGE(ABS(BOOK!$Q$8:$Q$107),4),ABS(BOOK!$Q$8:$Q$107),0)),"")</f>
        <v/>
      </c>
      <c r="D22" s="18" t="str">
        <f aca="false">IFERROR(INDEX(BOOK!D$8:D$107,MATCH(LARGE(ABS(BOOK!$Q$8:$Q$107),4),ABS(BOOK!$Q$8:$Q$107),0)),"")</f>
        <v/>
      </c>
      <c r="E22" s="18" t="str">
        <f aca="false">IFERROR(INDEX(BOOK!F$8:F$107,MATCH(LARGE(ABS(BOOK!$Q$8:$Q$107),4),ABS(BOOK!$Q$8:$Q$107),0)),"")</f>
        <v/>
      </c>
      <c r="F22" s="18" t="str">
        <f aca="false">IFERROR(INDEX(BOOK!H$8:H$107,MATCH(LARGE(ABS(BOOK!$Q$8:$Q$107),4),ABS(BOOK!$Q$8:$Q$107),0)),"")</f>
        <v/>
      </c>
      <c r="G22" s="18" t="str">
        <f aca="false">IFERROR(INDEX(BOOK!I$8:I$107,MATCH(LARGE(ABS(BOOK!$Q$8:$Q$107),4),ABS(BOOK!$Q$8:$Q$107),0)),"")</f>
        <v/>
      </c>
      <c r="H22" s="19" t="str">
        <f aca="false">IFERROR(INDEX(BOOK!Q$8:Q$107,MATCH(LARGE(ABS(BOOK!$Q$8:$Q$107),4),ABS(BOOK!$Q$8:$Q$107),0)),"")</f>
        <v/>
      </c>
      <c r="I22" s="19" t="str">
        <f aca="false">IFERROR(INDEX(BOOK!V$8:V$107,MATCH(LARGE(ABS(BOOK!$Q$8:$Q$107),4),ABS(BOOK!$Q$8:$Q$107),0)),"")</f>
        <v/>
      </c>
    </row>
    <row r="23" customFormat="false" ht="19.5" hidden="false" customHeight="true" outlineLevel="0" collapsed="false">
      <c r="B23" s="14" t="str">
        <f aca="false">IFERROR(INDEX(BOOK!B$8:B$107,MATCH(LARGE(ABS(BOOK!$Q$8:$Q$107),5),ABS(BOOK!$Q$8:$Q$107),0)),"")</f>
        <v/>
      </c>
      <c r="C23" s="15" t="str">
        <f aca="false">IFERROR(INDEX(BOOK!C$8:C$107,MATCH(LARGE(ABS(BOOK!$Q$8:$Q$107),5),ABS(BOOK!$Q$8:$Q$107),0)),"")</f>
        <v/>
      </c>
      <c r="D23" s="15" t="str">
        <f aca="false">IFERROR(INDEX(BOOK!D$8:D$107,MATCH(LARGE(ABS(BOOK!$Q$8:$Q$107),5),ABS(BOOK!$Q$8:$Q$107),0)),"")</f>
        <v/>
      </c>
      <c r="E23" s="15" t="str">
        <f aca="false">IFERROR(INDEX(BOOK!F$8:F$107,MATCH(LARGE(ABS(BOOK!$Q$8:$Q$107),5),ABS(BOOK!$Q$8:$Q$107),0)),"")</f>
        <v/>
      </c>
      <c r="F23" s="15" t="str">
        <f aca="false">IFERROR(INDEX(BOOK!H$8:H$107,MATCH(LARGE(ABS(BOOK!$Q$8:$Q$107),5),ABS(BOOK!$Q$8:$Q$107),0)),"")</f>
        <v/>
      </c>
      <c r="G23" s="15" t="str">
        <f aca="false">IFERROR(INDEX(BOOK!I$8:I$107,MATCH(LARGE(ABS(BOOK!$Q$8:$Q$107),5),ABS(BOOK!$Q$8:$Q$107),0)),"")</f>
        <v/>
      </c>
      <c r="H23" s="16" t="str">
        <f aca="false">IFERROR(INDEX(BOOK!Q$8:Q$107,MATCH(LARGE(ABS(BOOK!$Q$8:$Q$107),5),ABS(BOOK!$Q$8:$Q$107),0)),"")</f>
        <v/>
      </c>
      <c r="I23" s="16" t="str">
        <f aca="false">IFERROR(INDEX(BOOK!V$8:V$107,MATCH(LARGE(ABS(BOOK!$Q$8:$Q$107),5),ABS(BOOK!$Q$8:$Q$107),0)),"")</f>
        <v/>
      </c>
    </row>
    <row r="24" customFormat="false" ht="7.5" hidden="false" customHeight="true" outlineLevel="0" collapsed="false"/>
    <row r="25" customFormat="false" ht="21.75" hidden="false" customHeight="true" outlineLevel="0" collapsed="false">
      <c r="B25" s="5" t="s">
        <v>44</v>
      </c>
      <c r="C25" s="5"/>
      <c r="D25" s="5"/>
      <c r="E25" s="5"/>
      <c r="F25" s="5"/>
      <c r="G25" s="5"/>
      <c r="H25" s="5"/>
      <c r="I25" s="5"/>
      <c r="J25" s="5"/>
    </row>
    <row r="26" customFormat="false" ht="19.5" hidden="false" customHeight="true" outlineLevel="0" collapsed="false">
      <c r="B26" s="20" t="s">
        <v>45</v>
      </c>
      <c r="E26" s="20" t="s">
        <v>46</v>
      </c>
      <c r="H26" s="20" t="s">
        <v>47</v>
      </c>
    </row>
    <row r="27" customFormat="false" ht="24" hidden="false" customHeight="true" outlineLevel="0" collapsed="false">
      <c r="B27" s="21" t="str">
        <f aca="false">IF(ABS(B7)&gt;PARAMS!C6,"⚠ DÉPASSEMENT LIMITE","✓ OK")</f>
        <v>✓ OK</v>
      </c>
      <c r="E27" s="21" t="str">
        <f aca="false">IF(ABS(H7)&gt;PARAMS!C7,"⚠ DÉPASSEMENT VAR","✓ OK")</f>
        <v>✓ OK</v>
      </c>
      <c r="H27" s="21" t="str">
        <f aca="false">IF(I7&gt;PARAMS!C8,"⚠ MAX ATTEINT","✓ OK")</f>
        <v>✓ OK</v>
      </c>
    </row>
  </sheetData>
  <mergeCells count="7">
    <mergeCell ref="B1:J1"/>
    <mergeCell ref="B2:J2"/>
    <mergeCell ref="B5:K5"/>
    <mergeCell ref="B9:K9"/>
    <mergeCell ref="B13:J13"/>
    <mergeCell ref="B17:J17"/>
    <mergeCell ref="B25:J25"/>
  </mergeCells>
  <conditionalFormatting sqref="B11:E11">
    <cfRule type="colorScale" priority="2">
      <colorScale>
        <cfvo type="min" val="0"/>
        <cfvo type="num" val="0"/>
        <cfvo type="max" val="0"/>
        <color rgb="FFE53935"/>
        <color rgb="FFFFFFFF"/>
        <color rgb="FF1B5E20"/>
      </colorScale>
    </cfRule>
  </conditionalFormatting>
  <conditionalFormatting sqref="G11:J11">
    <cfRule type="colorScale" priority="3">
      <colorScale>
        <cfvo type="min" val="0"/>
        <cfvo type="num" val="0"/>
        <cfvo type="max" val="0"/>
        <color rgb="FFE53935"/>
        <color rgb="FFFFFFFF"/>
        <color rgb="FF1B5E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5" min="4" style="1" width="15"/>
    <col collapsed="false" customWidth="true" hidden="false" outlineLevel="0" max="7" min="6" style="1" width="13"/>
    <col collapsed="false" customWidth="true" hidden="false" outlineLevel="0" max="9" min="8" style="1" width="15"/>
    <col collapsed="false" customWidth="true" hidden="false" outlineLevel="0" max="14" min="10" style="1" width="14"/>
  </cols>
  <sheetData>
    <row r="1" customFormat="false" ht="37.5" hidden="false" customHeight="true" outlineLevel="0" collapsed="false">
      <c r="A1" s="22" t="s">
        <v>48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customFormat="false" ht="18" hidden="false" customHeight="true" outlineLevel="0" collapsed="false">
      <c r="A2" s="23" t="s">
        <v>49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customFormat="false" ht="9.75" hidden="false" customHeight="true" outlineLevel="0" collapsed="false"/>
    <row r="4" customFormat="false" ht="27.75" hidden="false" customHeight="true" outlineLevel="0" collapsed="false">
      <c r="A4" s="24" t="s">
        <v>50</v>
      </c>
      <c r="B4" s="24"/>
      <c r="C4" s="25" t="s">
        <v>51</v>
      </c>
      <c r="D4" s="26" t="n">
        <v>0</v>
      </c>
      <c r="E4" s="25" t="s">
        <v>52</v>
      </c>
      <c r="F4" s="26" t="n">
        <v>0</v>
      </c>
      <c r="G4" s="25" t="s">
        <v>53</v>
      </c>
      <c r="H4" s="26" t="n">
        <v>0</v>
      </c>
      <c r="I4" s="25" t="s">
        <v>54</v>
      </c>
      <c r="J4" s="26" t="n">
        <v>0</v>
      </c>
      <c r="K4" s="25" t="s">
        <v>55</v>
      </c>
      <c r="L4" s="26" t="n">
        <v>0</v>
      </c>
    </row>
    <row r="5" customFormat="false" ht="6" hidden="false" customHeight="true" outlineLevel="0" collapsed="false"/>
    <row r="6" customFormat="false" ht="27.75" hidden="false" customHeight="true" outlineLevel="0" collapsed="false">
      <c r="A6" s="27" t="s">
        <v>56</v>
      </c>
      <c r="B6" s="27" t="s">
        <v>40</v>
      </c>
      <c r="C6" s="27" t="s">
        <v>57</v>
      </c>
      <c r="D6" s="27" t="s">
        <v>58</v>
      </c>
      <c r="E6" s="27" t="s">
        <v>59</v>
      </c>
      <c r="F6" s="27" t="s">
        <v>60</v>
      </c>
      <c r="G6" s="27" t="s">
        <v>61</v>
      </c>
      <c r="H6" s="10" t="s">
        <v>62</v>
      </c>
      <c r="I6" s="10" t="s">
        <v>63</v>
      </c>
      <c r="J6" s="10" t="s">
        <v>64</v>
      </c>
      <c r="K6" s="10" t="s">
        <v>65</v>
      </c>
      <c r="L6" s="12" t="s">
        <v>66</v>
      </c>
      <c r="M6" s="12" t="s">
        <v>67</v>
      </c>
      <c r="N6" s="12" t="s">
        <v>68</v>
      </c>
    </row>
    <row r="7" customFormat="false" ht="6" hidden="false" customHeight="true" outlineLevel="0" collapsed="false"/>
    <row r="8" customFormat="false" ht="19.5" hidden="false" customHeight="true" outlineLevel="0" collapsed="false">
      <c r="A8" s="28" t="n">
        <v>1</v>
      </c>
      <c r="B8" s="29" t="s">
        <v>25</v>
      </c>
      <c r="C8" s="30" t="n">
        <v>0.0355</v>
      </c>
      <c r="D8" s="30" t="n">
        <v>0.0365</v>
      </c>
      <c r="E8" s="31" t="n">
        <f aca="false">$D$4</f>
        <v>0</v>
      </c>
      <c r="F8" s="31" t="n">
        <f aca="false">$F$4*1</f>
        <v>0</v>
      </c>
      <c r="G8" s="31" t="n">
        <f aca="false">$H$4*1</f>
        <v>0</v>
      </c>
      <c r="H8" s="32" t="n">
        <f aca="false">C8+(E8+F8+G8)/10000</f>
        <v>0.0355</v>
      </c>
      <c r="I8" s="32" t="n">
        <f aca="false">D8+(E8+F8+G8+$L$4)/10000</f>
        <v>0.0365</v>
      </c>
      <c r="J8" s="32" t="n">
        <f aca="false">H8</f>
        <v>0.0355</v>
      </c>
      <c r="K8" s="32" t="n">
        <f aca="false">I8</f>
        <v>0.0365</v>
      </c>
      <c r="L8" s="33" t="n">
        <f aca="false">(1+H8)^(-1)</f>
        <v>0.965717044905843</v>
      </c>
      <c r="M8" s="33" t="n">
        <f aca="false">(1+I8)^(-1)</f>
        <v>0.964785335262904</v>
      </c>
      <c r="N8" s="34" t="n">
        <f aca="false">(I8-H8)*10000</f>
        <v>10</v>
      </c>
    </row>
    <row r="9" customFormat="false" ht="19.5" hidden="false" customHeight="true" outlineLevel="0" collapsed="false">
      <c r="A9" s="28" t="n">
        <v>2</v>
      </c>
      <c r="B9" s="29" t="s">
        <v>26</v>
      </c>
      <c r="C9" s="30" t="n">
        <v>0.032</v>
      </c>
      <c r="D9" s="30" t="n">
        <v>0.033</v>
      </c>
      <c r="E9" s="31" t="n">
        <f aca="false">$D$4</f>
        <v>0</v>
      </c>
      <c r="F9" s="31" t="n">
        <f aca="false">$F$4*2</f>
        <v>0</v>
      </c>
      <c r="G9" s="31" t="n">
        <f aca="false">$H$4*1</f>
        <v>0</v>
      </c>
      <c r="H9" s="32" t="n">
        <f aca="false">C9+(E9+F9+G9)/10000</f>
        <v>0.032</v>
      </c>
      <c r="I9" s="32" t="n">
        <f aca="false">D9+(E9+F9+G9+$L$4)/10000</f>
        <v>0.033</v>
      </c>
      <c r="J9" s="32" t="n">
        <f aca="false">IFERROR((L8/L9)^(1/1)-1,H9)</f>
        <v>0.0285118300338001</v>
      </c>
      <c r="K9" s="32" t="n">
        <f aca="false">IFERROR((M8/M9)^(1/1)-1,I9)</f>
        <v>0.0295118186203569</v>
      </c>
      <c r="L9" s="33" t="n">
        <f aca="false">(1+H9)^(-2)</f>
        <v>0.938945976804279</v>
      </c>
      <c r="M9" s="33" t="n">
        <f aca="false">(1+I9)^(-2)</f>
        <v>0.93712895550418</v>
      </c>
      <c r="N9" s="34" t="n">
        <f aca="false">(I9-H9)*10000</f>
        <v>10</v>
      </c>
    </row>
    <row r="10" customFormat="false" ht="19.5" hidden="false" customHeight="true" outlineLevel="0" collapsed="false">
      <c r="A10" s="28" t="n">
        <v>3</v>
      </c>
      <c r="B10" s="29" t="s">
        <v>27</v>
      </c>
      <c r="C10" s="30" t="n">
        <v>0.0295</v>
      </c>
      <c r="D10" s="30" t="n">
        <v>0.0305</v>
      </c>
      <c r="E10" s="31" t="n">
        <f aca="false">$D$4</f>
        <v>0</v>
      </c>
      <c r="F10" s="31" t="n">
        <f aca="false">$F$4*3</f>
        <v>0</v>
      </c>
      <c r="G10" s="31" t="n">
        <f aca="false">$H$4*1</f>
        <v>0</v>
      </c>
      <c r="H10" s="32" t="n">
        <f aca="false">C10+(E10+F10+G10)/10000</f>
        <v>0.0295</v>
      </c>
      <c r="I10" s="32" t="n">
        <f aca="false">D10+(E10+F10+G10+$L$4)/10000</f>
        <v>0.0305</v>
      </c>
      <c r="J10" s="32" t="n">
        <f aca="false">IFERROR((L9/L10)^(1/1)-1,H10)</f>
        <v>0.0245181539336206</v>
      </c>
      <c r="K10" s="32" t="n">
        <f aca="false">IFERROR((M9/M10)^(1/1)-1,I10)</f>
        <v>0.0255181363738171</v>
      </c>
      <c r="L10" s="33" t="n">
        <f aca="false">(1+H10)^(-3)</f>
        <v>0.916475684885828</v>
      </c>
      <c r="M10" s="33" t="n">
        <f aca="false">(1+I10)^(-3)</f>
        <v>0.913810221648369</v>
      </c>
      <c r="N10" s="34" t="n">
        <f aca="false">(I10-H10)*10000</f>
        <v>10</v>
      </c>
    </row>
    <row r="11" customFormat="false" ht="19.5" hidden="false" customHeight="true" outlineLevel="0" collapsed="false">
      <c r="A11" s="28" t="n">
        <v>4</v>
      </c>
      <c r="B11" s="29" t="s">
        <v>69</v>
      </c>
      <c r="C11" s="30" t="n">
        <v>0.0278</v>
      </c>
      <c r="D11" s="30" t="n">
        <v>0.0288</v>
      </c>
      <c r="E11" s="31" t="n">
        <f aca="false">$D$4</f>
        <v>0</v>
      </c>
      <c r="F11" s="31" t="n">
        <f aca="false">$F$4*4</f>
        <v>0</v>
      </c>
      <c r="G11" s="31" t="n">
        <f aca="false">$H$4*1</f>
        <v>0</v>
      </c>
      <c r="H11" s="32" t="n">
        <f aca="false">C11+(E11+F11+G11)/10000</f>
        <v>0.0278</v>
      </c>
      <c r="I11" s="32" t="n">
        <f aca="false">D11+(E11+F11+G11+$L$4)/10000</f>
        <v>0.0288</v>
      </c>
      <c r="J11" s="32" t="n">
        <f aca="false">IFERROR((L10/L11)^(1/1)-1,H11)</f>
        <v>0.0227168245934939</v>
      </c>
      <c r="K11" s="32" t="n">
        <f aca="false">IFERROR((M10/M11)^(1/1)-1,I11)</f>
        <v>0.0237168082848236</v>
      </c>
      <c r="L11" s="33" t="n">
        <f aca="false">(1+H11)^(-4)</f>
        <v>0.896118713261714</v>
      </c>
      <c r="M11" s="33" t="n">
        <f aca="false">(1+I11)^(-4)</f>
        <v>0.892639658011871</v>
      </c>
      <c r="N11" s="34" t="n">
        <f aca="false">(I11-H11)*10000</f>
        <v>10</v>
      </c>
    </row>
    <row r="12" customFormat="false" ht="19.5" hidden="false" customHeight="true" outlineLevel="0" collapsed="false">
      <c r="A12" s="28" t="n">
        <v>5</v>
      </c>
      <c r="B12" s="29" t="s">
        <v>28</v>
      </c>
      <c r="C12" s="30" t="n">
        <v>0.0268</v>
      </c>
      <c r="D12" s="30" t="n">
        <v>0.0278</v>
      </c>
      <c r="E12" s="31" t="n">
        <f aca="false">$D$4</f>
        <v>0</v>
      </c>
      <c r="F12" s="31" t="n">
        <f aca="false">$F$4*5</f>
        <v>0</v>
      </c>
      <c r="G12" s="31" t="n">
        <f aca="false">$H$4*1</f>
        <v>0</v>
      </c>
      <c r="H12" s="32" t="n">
        <f aca="false">C12+(E12+F12+G12)/10000</f>
        <v>0.0268</v>
      </c>
      <c r="I12" s="32" t="n">
        <f aca="false">D12+(E12+F12+G12+$L$4)/10000</f>
        <v>0.0278</v>
      </c>
      <c r="J12" s="32" t="n">
        <f aca="false">IFERROR((L11/L12)^(1/1)-1,H12)</f>
        <v>0.0228097200576107</v>
      </c>
      <c r="K12" s="32" t="n">
        <f aca="false">IFERROR((M11/M12)^(1/1)-1,I12)</f>
        <v>0.0238097106188389</v>
      </c>
      <c r="L12" s="33" t="n">
        <f aca="false">(1+H12)^(-5)</f>
        <v>0.876134334362054</v>
      </c>
      <c r="M12" s="33" t="n">
        <f aca="false">(1+I12)^(-5)</f>
        <v>0.871880437110054</v>
      </c>
      <c r="N12" s="34" t="n">
        <f aca="false">(I12-H12)*10000</f>
        <v>9.99999999999997</v>
      </c>
    </row>
    <row r="13" customFormat="false" ht="19.5" hidden="false" customHeight="true" outlineLevel="0" collapsed="false">
      <c r="A13" s="28" t="n">
        <v>6</v>
      </c>
      <c r="B13" s="29" t="s">
        <v>70</v>
      </c>
      <c r="C13" s="30" t="n">
        <v>0.0261</v>
      </c>
      <c r="D13" s="30" t="n">
        <v>0.0271</v>
      </c>
      <c r="E13" s="31" t="n">
        <f aca="false">$D$4</f>
        <v>0</v>
      </c>
      <c r="F13" s="31" t="n">
        <f aca="false">$F$4*6</f>
        <v>0</v>
      </c>
      <c r="G13" s="31" t="n">
        <f aca="false">$H$4*-1</f>
        <v>-0</v>
      </c>
      <c r="H13" s="32" t="n">
        <f aca="false">C13+(E13+F13+G13)/10000</f>
        <v>0.0261</v>
      </c>
      <c r="I13" s="32" t="n">
        <f aca="false">D13+(E13+F13+G13+$L$4)/10000</f>
        <v>0.0271</v>
      </c>
      <c r="J13" s="32" t="n">
        <f aca="false">IFERROR((L12/L13)^(1/1)-1,H13)</f>
        <v>0.0226071516580297</v>
      </c>
      <c r="K13" s="32" t="n">
        <f aca="false">IFERROR((M12/M13)^(1/1)-1,I13)</f>
        <v>0.023607144706127</v>
      </c>
      <c r="L13" s="33" t="n">
        <f aca="false">(1+H13)^(-6)</f>
        <v>0.856765311040033</v>
      </c>
      <c r="M13" s="33" t="n">
        <f aca="false">(1+I13)^(-6)</f>
        <v>0.851772519974318</v>
      </c>
      <c r="N13" s="34" t="n">
        <f aca="false">(I13-H13)*10000</f>
        <v>9.99999999999997</v>
      </c>
    </row>
    <row r="14" customFormat="false" ht="19.5" hidden="false" customHeight="true" outlineLevel="0" collapsed="false">
      <c r="A14" s="28" t="n">
        <v>7</v>
      </c>
      <c r="B14" s="29" t="s">
        <v>29</v>
      </c>
      <c r="C14" s="30" t="n">
        <v>0.0257</v>
      </c>
      <c r="D14" s="30" t="n">
        <v>0.0267</v>
      </c>
      <c r="E14" s="31" t="n">
        <f aca="false">$D$4</f>
        <v>0</v>
      </c>
      <c r="F14" s="31" t="n">
        <f aca="false">$F$4*7</f>
        <v>0</v>
      </c>
      <c r="G14" s="31" t="n">
        <f aca="false">$H$4*-1</f>
        <v>-0</v>
      </c>
      <c r="H14" s="32" t="n">
        <f aca="false">C14+(E14+F14+G14)/10000</f>
        <v>0.0257</v>
      </c>
      <c r="I14" s="32" t="n">
        <f aca="false">D14+(E14+F14+G14+$L$4)/10000</f>
        <v>0.0267</v>
      </c>
      <c r="J14" s="32" t="n">
        <f aca="false">IFERROR((L13/L14)^(1/1)-1,H14)</f>
        <v>0.0233032724079798</v>
      </c>
      <c r="K14" s="32" t="n">
        <f aca="false">IFERROR((M13/M14)^(1/1)-1,I14)</f>
        <v>0.0243032692239817</v>
      </c>
      <c r="L14" s="33" t="n">
        <f aca="false">(1+H14)^(-7)</f>
        <v>0.83725454041004</v>
      </c>
      <c r="M14" s="33" t="n">
        <f aca="false">(1+I14)^(-7)</f>
        <v>0.831562824767342</v>
      </c>
      <c r="N14" s="34" t="n">
        <f aca="false">(I14-H14)*10000</f>
        <v>10</v>
      </c>
    </row>
    <row r="15" customFormat="false" ht="19.5" hidden="false" customHeight="true" outlineLevel="0" collapsed="false">
      <c r="A15" s="28" t="n">
        <v>8</v>
      </c>
      <c r="B15" s="29" t="s">
        <v>71</v>
      </c>
      <c r="C15" s="30" t="n">
        <v>0.0254</v>
      </c>
      <c r="D15" s="30" t="n">
        <v>0.0264</v>
      </c>
      <c r="E15" s="31" t="n">
        <f aca="false">$D$4</f>
        <v>0</v>
      </c>
      <c r="F15" s="31" t="n">
        <f aca="false">$F$4*8</f>
        <v>0</v>
      </c>
      <c r="G15" s="31" t="n">
        <f aca="false">$H$4*-1</f>
        <v>-0</v>
      </c>
      <c r="H15" s="32" t="n">
        <f aca="false">C15+(E15+F15+G15)/10000</f>
        <v>0.0254</v>
      </c>
      <c r="I15" s="32" t="n">
        <f aca="false">D15+(E15+F15+G15+$L$4)/10000</f>
        <v>0.0264</v>
      </c>
      <c r="J15" s="32" t="n">
        <f aca="false">IFERROR((L14/L15)^(1/1)-1,H15)</f>
        <v>0.0233024554220764</v>
      </c>
      <c r="K15" s="32" t="n">
        <f aca="false">IFERROR((M14/M15)^(1/1)-1,I15)</f>
        <v>0.0243024530319067</v>
      </c>
      <c r="L15" s="33" t="n">
        <f aca="false">(1+H15)^(-8)</f>
        <v>0.818188733911228</v>
      </c>
      <c r="M15" s="33" t="n">
        <f aca="false">(1+I15)^(-8)</f>
        <v>0.811833284501018</v>
      </c>
      <c r="N15" s="34" t="n">
        <f aca="false">(I15-H15)*10000</f>
        <v>10</v>
      </c>
    </row>
    <row r="16" customFormat="false" ht="19.5" hidden="false" customHeight="true" outlineLevel="0" collapsed="false">
      <c r="A16" s="28" t="n">
        <v>9</v>
      </c>
      <c r="B16" s="29" t="s">
        <v>72</v>
      </c>
      <c r="C16" s="30" t="n">
        <v>0.0253</v>
      </c>
      <c r="D16" s="30" t="n">
        <v>0.0263</v>
      </c>
      <c r="E16" s="31" t="n">
        <f aca="false">$D$4</f>
        <v>0</v>
      </c>
      <c r="F16" s="31" t="n">
        <f aca="false">$F$4*9</f>
        <v>0</v>
      </c>
      <c r="G16" s="31" t="n">
        <f aca="false">$H$4*-1</f>
        <v>-0</v>
      </c>
      <c r="H16" s="32" t="n">
        <f aca="false">C16+(E16+F16+G16)/10000</f>
        <v>0.0253</v>
      </c>
      <c r="I16" s="32" t="n">
        <f aca="false">D16+(E16+F16+G16+$L$4)/10000</f>
        <v>0.0263</v>
      </c>
      <c r="J16" s="32" t="n">
        <f aca="false">IFERROR((L15/L16)^(1/1)-1,H16)</f>
        <v>0.0245003510026263</v>
      </c>
      <c r="K16" s="32" t="n">
        <f aca="false">IFERROR((M15/M16)^(1/1)-1,I16)</f>
        <v>0.0255003506607294</v>
      </c>
      <c r="L16" s="33" t="n">
        <f aca="false">(1+H16)^(-9)</f>
        <v>0.798622209460942</v>
      </c>
      <c r="M16" s="33" t="n">
        <f aca="false">(1+I16)^(-9)</f>
        <v>0.791646033058842</v>
      </c>
      <c r="N16" s="34" t="n">
        <f aca="false">(I16-H16)*10000</f>
        <v>10</v>
      </c>
    </row>
    <row r="17" customFormat="false" ht="19.5" hidden="false" customHeight="true" outlineLevel="0" collapsed="false">
      <c r="A17" s="28" t="n">
        <v>10</v>
      </c>
      <c r="B17" s="29" t="s">
        <v>30</v>
      </c>
      <c r="C17" s="30" t="n">
        <v>0.0252</v>
      </c>
      <c r="D17" s="30" t="n">
        <v>0.0262</v>
      </c>
      <c r="E17" s="31" t="n">
        <f aca="false">$D$4</f>
        <v>0</v>
      </c>
      <c r="F17" s="31" t="n">
        <f aca="false">$F$4*10</f>
        <v>0</v>
      </c>
      <c r="G17" s="31" t="n">
        <f aca="false">$H$4*-1</f>
        <v>-0</v>
      </c>
      <c r="H17" s="32" t="n">
        <f aca="false">C17+(E17+F17+G17)/10000</f>
        <v>0.0252</v>
      </c>
      <c r="I17" s="32" t="n">
        <f aca="false">D17+(E17+F17+G17+$L$4)/10000</f>
        <v>0.0262</v>
      </c>
      <c r="J17" s="32" t="n">
        <f aca="false">IFERROR((L16/L17)^(1/1)-1,H17)</f>
        <v>0.0243004387817996</v>
      </c>
      <c r="K17" s="32" t="n">
        <f aca="false">IFERROR((M16/M17)^(1/1)-1,I17)</f>
        <v>0.0253004383543751</v>
      </c>
      <c r="L17" s="33" t="n">
        <f aca="false">(1+H17)^(-10)</f>
        <v>0.779675746708401</v>
      </c>
      <c r="M17" s="33" t="n">
        <f aca="false">(1+I17)^(-10)</f>
        <v>0.772111279235819</v>
      </c>
      <c r="N17" s="34" t="n">
        <f aca="false">(I17-H17)*10000</f>
        <v>10</v>
      </c>
    </row>
    <row r="18" customFormat="false" ht="19.5" hidden="false" customHeight="true" outlineLevel="0" collapsed="false">
      <c r="A18" s="28" t="n">
        <v>11</v>
      </c>
      <c r="B18" s="29" t="s">
        <v>73</v>
      </c>
      <c r="C18" s="30" t="n">
        <v>0.0252</v>
      </c>
      <c r="D18" s="30" t="n">
        <v>0.0262</v>
      </c>
      <c r="E18" s="31" t="n">
        <f aca="false">$D$4</f>
        <v>0</v>
      </c>
      <c r="F18" s="31" t="n">
        <f aca="false">$F$4*11</f>
        <v>0</v>
      </c>
      <c r="G18" s="31" t="n">
        <f aca="false">$H$4*-1</f>
        <v>-0</v>
      </c>
      <c r="H18" s="32" t="n">
        <f aca="false">C18+(E18+F18+G18)/10000</f>
        <v>0.0252</v>
      </c>
      <c r="I18" s="32" t="n">
        <f aca="false">D18+(E18+F18+G18+$L$4)/10000</f>
        <v>0.0262</v>
      </c>
      <c r="J18" s="32" t="n">
        <f aca="false">IFERROR((L17/L18)^(1/1)-1,H18)</f>
        <v>0.0251999999999999</v>
      </c>
      <c r="K18" s="32" t="n">
        <f aca="false">IFERROR((M17/M18)^(1/1)-1,I18)</f>
        <v>0.0262</v>
      </c>
      <c r="L18" s="33" t="n">
        <f aca="false">(1+H18)^(-11)</f>
        <v>0.760510872715959</v>
      </c>
      <c r="M18" s="33" t="n">
        <f aca="false">(1+I18)^(-11)</f>
        <v>0.752398440105066</v>
      </c>
      <c r="N18" s="34" t="n">
        <f aca="false">(I18-H18)*10000</f>
        <v>10</v>
      </c>
    </row>
    <row r="19" customFormat="false" ht="19.5" hidden="false" customHeight="true" outlineLevel="0" collapsed="false">
      <c r="A19" s="28" t="n">
        <v>12</v>
      </c>
      <c r="B19" s="29" t="s">
        <v>74</v>
      </c>
      <c r="C19" s="30" t="n">
        <v>0.0253</v>
      </c>
      <c r="D19" s="30" t="n">
        <v>0.0263</v>
      </c>
      <c r="E19" s="31" t="n">
        <f aca="false">$D$4</f>
        <v>0</v>
      </c>
      <c r="F19" s="31" t="n">
        <f aca="false">$F$4*12</f>
        <v>0</v>
      </c>
      <c r="G19" s="31" t="n">
        <f aca="false">$H$4*-1</f>
        <v>-0</v>
      </c>
      <c r="H19" s="32" t="n">
        <f aca="false">C19+(E19+F19+G19)/10000</f>
        <v>0.0253</v>
      </c>
      <c r="I19" s="32" t="n">
        <f aca="false">D19+(E19+F19+G19+$L$4)/10000</f>
        <v>0.0263</v>
      </c>
      <c r="J19" s="32" t="n">
        <f aca="false">IFERROR((L18/L19)^(1/1)-1,H19)</f>
        <v>0.0264006439861899</v>
      </c>
      <c r="K19" s="32" t="n">
        <f aca="false">IFERROR((M18/M19)^(1/1)-1,I19)</f>
        <v>0.0274006433584391</v>
      </c>
      <c r="L19" s="33" t="n">
        <f aca="false">(1+H19)^(-12)</f>
        <v>0.740949333159413</v>
      </c>
      <c r="M19" s="33" t="n">
        <f aca="false">(1+I19)^(-12)</f>
        <v>0.73233207022878</v>
      </c>
      <c r="N19" s="34" t="n">
        <f aca="false">(I19-H19)*10000</f>
        <v>10</v>
      </c>
    </row>
    <row r="20" customFormat="false" ht="19.5" hidden="false" customHeight="true" outlineLevel="0" collapsed="false">
      <c r="A20" s="28" t="n">
        <v>13</v>
      </c>
      <c r="B20" s="29" t="s">
        <v>31</v>
      </c>
      <c r="C20" s="30" t="n">
        <v>0.0256</v>
      </c>
      <c r="D20" s="30" t="n">
        <v>0.0266</v>
      </c>
      <c r="E20" s="31" t="n">
        <f aca="false">$D$4</f>
        <v>0</v>
      </c>
      <c r="F20" s="31" t="n">
        <f aca="false">$F$4*15</f>
        <v>0</v>
      </c>
      <c r="G20" s="31" t="n">
        <f aca="false">$H$4*-1</f>
        <v>-0</v>
      </c>
      <c r="H20" s="32" t="n">
        <f aca="false">C20+(E20+F20+G20)/10000</f>
        <v>0.0256</v>
      </c>
      <c r="I20" s="32" t="n">
        <f aca="false">D20+(E20+F20+G20+$L$4)/10000</f>
        <v>0.0266</v>
      </c>
      <c r="J20" s="32" t="n">
        <f aca="false">IFERROR((L19/L20)^(1/3)-1,H20)</f>
        <v>0.0268008780487428</v>
      </c>
      <c r="K20" s="32" t="n">
        <f aca="false">IFERROR((M19/M20)^(1/3)-1,I20)</f>
        <v>0.0278008771929448</v>
      </c>
      <c r="L20" s="33" t="n">
        <f aca="false">(1+H20)^(-15)</f>
        <v>0.684431229337007</v>
      </c>
      <c r="M20" s="33" t="n">
        <f aca="false">(1+I20)^(-15)</f>
        <v>0.674498675400219</v>
      </c>
      <c r="N20" s="34" t="n">
        <f aca="false">(I20-H20)*10000</f>
        <v>9.99999999999997</v>
      </c>
    </row>
    <row r="21" customFormat="false" ht="19.5" hidden="false" customHeight="true" outlineLevel="0" collapsed="false">
      <c r="A21" s="28" t="n">
        <v>14</v>
      </c>
      <c r="B21" s="29" t="s">
        <v>32</v>
      </c>
      <c r="C21" s="30" t="n">
        <v>0.0255</v>
      </c>
      <c r="D21" s="30" t="n">
        <v>0.0265</v>
      </c>
      <c r="E21" s="31" t="n">
        <f aca="false">$D$4</f>
        <v>0</v>
      </c>
      <c r="F21" s="31" t="n">
        <f aca="false">$F$4*20</f>
        <v>0</v>
      </c>
      <c r="G21" s="31" t="n">
        <f aca="false">$H$4*1</f>
        <v>0</v>
      </c>
      <c r="H21" s="32" t="n">
        <f aca="false">C21+(E21+F21+G21)/10000</f>
        <v>0.0255</v>
      </c>
      <c r="I21" s="32" t="n">
        <f aca="false">D21+(E21+F21+G21+$L$4)/10000</f>
        <v>0.0265</v>
      </c>
      <c r="J21" s="32" t="n">
        <f aca="false">IFERROR((L20/L21)^(1/5)-1,H21)</f>
        <v>0.0252000584985375</v>
      </c>
      <c r="K21" s="32" t="n">
        <f aca="false">IFERROR((M20/M21)^(1/5)-1,I21)</f>
        <v>0.0262000584415583</v>
      </c>
      <c r="L21" s="33" t="n">
        <f aca="false">(1+H21)^(-20)</f>
        <v>0.60434746661284</v>
      </c>
      <c r="M21" s="33" t="n">
        <f aca="false">(1+I21)^(-20)</f>
        <v>0.592680892046054</v>
      </c>
      <c r="N21" s="34" t="n">
        <f aca="false">(I21-H21)*10000</f>
        <v>10</v>
      </c>
    </row>
    <row r="22" customFormat="false" ht="19.5" hidden="false" customHeight="true" outlineLevel="0" collapsed="false">
      <c r="A22" s="28" t="n">
        <v>15</v>
      </c>
      <c r="B22" s="29" t="s">
        <v>75</v>
      </c>
      <c r="C22" s="30" t="n">
        <v>0.025</v>
      </c>
      <c r="D22" s="30" t="n">
        <v>0.026</v>
      </c>
      <c r="E22" s="31" t="n">
        <f aca="false">$D$4</f>
        <v>0</v>
      </c>
      <c r="F22" s="31" t="n">
        <f aca="false">$F$4*25</f>
        <v>0</v>
      </c>
      <c r="G22" s="31" t="n">
        <f aca="false">$H$4*1</f>
        <v>0</v>
      </c>
      <c r="H22" s="32" t="n">
        <f aca="false">C22+(E22+F22+G22)/10000</f>
        <v>0.025</v>
      </c>
      <c r="I22" s="32" t="n">
        <f aca="false">D22+(E22+F22+G22+$L$4)/10000</f>
        <v>0.026</v>
      </c>
      <c r="J22" s="32" t="n">
        <f aca="false">IFERROR((L21/L22)^(1/5)-1,H22)</f>
        <v>0.0230024366468833</v>
      </c>
      <c r="K22" s="32" t="n">
        <f aca="false">IFERROR((M21/M22)^(1/5)-1,I22)</f>
        <v>0.0240024342742977</v>
      </c>
      <c r="L22" s="33" t="n">
        <f aca="false">(1+H22)^(-25)</f>
        <v>0.53939058944928</v>
      </c>
      <c r="M22" s="33" t="n">
        <f aca="false">(1+I22)^(-25)</f>
        <v>0.52640012120708</v>
      </c>
      <c r="N22" s="34" t="n">
        <f aca="false">(I22-H22)*10000</f>
        <v>9.99999999999997</v>
      </c>
    </row>
    <row r="23" customFormat="false" ht="19.5" hidden="false" customHeight="true" outlineLevel="0" collapsed="false">
      <c r="A23" s="28" t="n">
        <v>16</v>
      </c>
      <c r="B23" s="29" t="s">
        <v>33</v>
      </c>
      <c r="C23" s="30" t="n">
        <v>0.0245</v>
      </c>
      <c r="D23" s="30" t="n">
        <v>0.0255</v>
      </c>
      <c r="E23" s="31" t="n">
        <f aca="false">$D$4</f>
        <v>0</v>
      </c>
      <c r="F23" s="31" t="n">
        <f aca="false">$F$4*30</f>
        <v>0</v>
      </c>
      <c r="G23" s="31" t="n">
        <f aca="false">$H$4*1</f>
        <v>0</v>
      </c>
      <c r="H23" s="32" t="n">
        <f aca="false">C23+(E23+F23+G23)/10000</f>
        <v>0.0245</v>
      </c>
      <c r="I23" s="32" t="n">
        <f aca="false">D23+(E23+F23+G23+$L$4)/10000</f>
        <v>0.0255</v>
      </c>
      <c r="J23" s="32" t="n">
        <f aca="false">IFERROR((L22/L23)^(1/5)-1,H23)</f>
        <v>0.02200365615792</v>
      </c>
      <c r="K23" s="32" t="n">
        <f aca="false">IFERROR((M22/M23)^(1/5)-1,I23)</f>
        <v>0.0230036525967288</v>
      </c>
      <c r="L23" s="33" t="n">
        <f aca="false">(1+H23)^(-30)</f>
        <v>0.483772433813807</v>
      </c>
      <c r="M23" s="33" t="n">
        <f aca="false">(1+I23)^(-30)</f>
        <v>0.469818440410465</v>
      </c>
      <c r="N23" s="34" t="n">
        <f aca="false">(I23-H23)*10000</f>
        <v>9.99999999999997</v>
      </c>
    </row>
    <row r="24" customFormat="false" ht="19.5" hidden="false" customHeight="true" outlineLevel="0" collapsed="false">
      <c r="A24" s="28" t="n">
        <v>17</v>
      </c>
      <c r="B24" s="29" t="s">
        <v>76</v>
      </c>
      <c r="C24" s="30" t="n">
        <v>0.024</v>
      </c>
      <c r="D24" s="30" t="n">
        <v>0.025</v>
      </c>
      <c r="E24" s="31" t="n">
        <f aca="false">$D$4</f>
        <v>0</v>
      </c>
      <c r="F24" s="31" t="n">
        <f aca="false">$F$4*35</f>
        <v>0</v>
      </c>
      <c r="G24" s="31" t="n">
        <f aca="false">$H$4*1</f>
        <v>0</v>
      </c>
      <c r="H24" s="32" t="n">
        <f aca="false">C24+(E24+F24+G24)/10000</f>
        <v>0.024</v>
      </c>
      <c r="I24" s="32" t="n">
        <f aca="false">D24+(E24+F24+G24+$L$4)/10000</f>
        <v>0.025</v>
      </c>
      <c r="J24" s="32" t="n">
        <f aca="false">IFERROR((L23/L24)^(1/5)-1,H24)</f>
        <v>0.0210051202847321</v>
      </c>
      <c r="K24" s="32" t="n">
        <f aca="false">IFERROR((M23/M24)^(1/5)-1,I24)</f>
        <v>0.0220051152958232</v>
      </c>
      <c r="L24" s="33" t="n">
        <f aca="false">(1+H24)^(-35)</f>
        <v>0.436015087616834</v>
      </c>
      <c r="M24" s="33" t="n">
        <f aca="false">(1+I24)^(-35)</f>
        <v>0.421371066383676</v>
      </c>
      <c r="N24" s="34" t="n">
        <f aca="false">(I24-H24)*10000</f>
        <v>10</v>
      </c>
    </row>
    <row r="25" customFormat="false" ht="19.5" hidden="false" customHeight="true" outlineLevel="0" collapsed="false">
      <c r="A25" s="28" t="n">
        <v>18</v>
      </c>
      <c r="B25" s="29" t="s">
        <v>77</v>
      </c>
      <c r="C25" s="30" t="n">
        <v>0.0237</v>
      </c>
      <c r="D25" s="30" t="n">
        <v>0.0247</v>
      </c>
      <c r="E25" s="31" t="n">
        <f aca="false">$D$4</f>
        <v>0</v>
      </c>
      <c r="F25" s="31" t="n">
        <f aca="false">$F$4*40</f>
        <v>0</v>
      </c>
      <c r="G25" s="31" t="n">
        <f aca="false">$H$4*1</f>
        <v>0</v>
      </c>
      <c r="H25" s="32" t="n">
        <f aca="false">C25+(E25+F25+G25)/10000</f>
        <v>0.0237</v>
      </c>
      <c r="I25" s="32" t="n">
        <f aca="false">D25+(E25+F25+G25+$L$4)/10000</f>
        <v>0.0247</v>
      </c>
      <c r="J25" s="32" t="n">
        <f aca="false">IFERROR((L24/L25)^(1/5)-1,H25)</f>
        <v>0.0216024594960726</v>
      </c>
      <c r="K25" s="32" t="n">
        <f aca="false">IFERROR((M24/M25)^(1/5)-1,I25)</f>
        <v>0.0226024570979686</v>
      </c>
      <c r="L25" s="33" t="n">
        <f aca="false">(1+H25)^(-40)</f>
        <v>0.391824753032185</v>
      </c>
      <c r="M25" s="33" t="n">
        <f aca="false">(1+I25)^(-40)</f>
        <v>0.37681705561195</v>
      </c>
      <c r="N25" s="34" t="n">
        <f aca="false">(I25-H25)*10000</f>
        <v>10</v>
      </c>
    </row>
    <row r="26" customFormat="false" ht="19.5" hidden="false" customHeight="true" outlineLevel="0" collapsed="false">
      <c r="A26" s="28" t="n">
        <v>19</v>
      </c>
      <c r="B26" s="29" t="s">
        <v>34</v>
      </c>
      <c r="C26" s="30" t="n">
        <v>0.023</v>
      </c>
      <c r="D26" s="30" t="n">
        <v>0.024</v>
      </c>
      <c r="E26" s="31" t="n">
        <f aca="false">$D$4</f>
        <v>0</v>
      </c>
      <c r="F26" s="31" t="n">
        <f aca="false">$F$4*50</f>
        <v>0</v>
      </c>
      <c r="G26" s="31" t="n">
        <f aca="false">$H$4*1</f>
        <v>0</v>
      </c>
      <c r="H26" s="32" t="n">
        <f aca="false">C26+(E26+F26+G26)/10000</f>
        <v>0.023</v>
      </c>
      <c r="I26" s="32" t="n">
        <f aca="false">D26+(E26+F26+G26+$L$4)/10000</f>
        <v>0.024</v>
      </c>
      <c r="J26" s="32" t="n">
        <f aca="false">IFERROR((L25/L26)^(1/10)-1,H26)</f>
        <v>0.0202047832866599</v>
      </c>
      <c r="K26" s="32" t="n">
        <f aca="false">IFERROR((M25/M26)^(1/10)-1,I26)</f>
        <v>0.0212047786218623</v>
      </c>
      <c r="L26" s="33" t="n">
        <f aca="false">(1+H26)^(-50)</f>
        <v>0.32078814810745</v>
      </c>
      <c r="M26" s="33" t="n">
        <f aca="false">(1+I26)^(-50)</f>
        <v>0.30549363634996</v>
      </c>
      <c r="N26" s="34" t="n">
        <f aca="false">(I26-H26)*10000</f>
        <v>10</v>
      </c>
    </row>
    <row r="27" customFormat="false" ht="19.5" hidden="false" customHeight="true" outlineLevel="0" collapsed="false">
      <c r="A27" s="28" t="n">
        <v>20</v>
      </c>
      <c r="B27" s="29" t="s">
        <v>78</v>
      </c>
      <c r="C27" s="30" t="n">
        <v>0.0222</v>
      </c>
      <c r="D27" s="30" t="n">
        <v>0.0232</v>
      </c>
      <c r="E27" s="31" t="n">
        <f aca="false">$D$4</f>
        <v>0</v>
      </c>
      <c r="F27" s="31" t="n">
        <f aca="false">$F$4*60</f>
        <v>0</v>
      </c>
      <c r="G27" s="31" t="n">
        <f aca="false">$H$4*1</f>
        <v>0</v>
      </c>
      <c r="H27" s="32" t="n">
        <f aca="false">C27+(E27+F27+G27)/10000</f>
        <v>0.0222</v>
      </c>
      <c r="I27" s="32" t="n">
        <f aca="false">D27+(E27+F27+G27+$L$4)/10000</f>
        <v>0.0232</v>
      </c>
      <c r="J27" s="32" t="n">
        <f aca="false">IFERROR((L26/L27)^(1/10)-1,H27)</f>
        <v>0.0182093743852338</v>
      </c>
      <c r="K27" s="32" t="n">
        <f aca="false">IFERROR((M26/M27)^(1/10)-1,I27)</f>
        <v>0.0192093652400958</v>
      </c>
      <c r="L27" s="33" t="n">
        <f aca="false">(1+H27)^(-60)</f>
        <v>0.267822711635571</v>
      </c>
      <c r="M27" s="33" t="n">
        <f aca="false">(1+I27)^(-60)</f>
        <v>0.252562060337988</v>
      </c>
      <c r="N27" s="34" t="n">
        <f aca="false">(I27-H27)*10000</f>
        <v>9.99999999999997</v>
      </c>
    </row>
    <row r="28" customFormat="false" ht="7.5" hidden="false" customHeight="true" outlineLevel="0" collapsed="false"/>
    <row r="29" customFormat="false" ht="21.75" hidden="false" customHeight="true" outlineLevel="0" collapsed="false">
      <c r="A29" s="35" t="s">
        <v>79</v>
      </c>
      <c r="B29" s="35"/>
      <c r="C29" s="35"/>
      <c r="D29" s="35"/>
      <c r="E29" s="35"/>
      <c r="F29" s="35"/>
      <c r="G29" s="35"/>
    </row>
    <row r="30" customFormat="false" ht="21.75" hidden="false" customHeight="true" outlineLevel="0" collapsed="false">
      <c r="C30" s="36" t="s">
        <v>80</v>
      </c>
      <c r="D30" s="36" t="s">
        <v>81</v>
      </c>
      <c r="E30" s="36" t="s">
        <v>82</v>
      </c>
      <c r="F30" s="36" t="s">
        <v>83</v>
      </c>
      <c r="H30" s="36" t="s">
        <v>84</v>
      </c>
      <c r="I30" s="36" t="s">
        <v>85</v>
      </c>
      <c r="J30" s="36" t="s">
        <v>86</v>
      </c>
      <c r="K30" s="36" t="s">
        <v>87</v>
      </c>
    </row>
    <row r="31" customFormat="false" ht="19.5" hidden="false" customHeight="true" outlineLevel="0" collapsed="false">
      <c r="C31" s="37" t="n">
        <f aca="false">MIN(H8:H27)</f>
        <v>0.0222</v>
      </c>
      <c r="D31" s="37" t="n">
        <f aca="false">MAX(H8:H27)</f>
        <v>0.0355</v>
      </c>
      <c r="E31" s="38" t="n">
        <f aca="false">(H17-H9)*10000</f>
        <v>-68</v>
      </c>
      <c r="F31" s="38" t="n">
        <f aca="false">(H23-H17)*10000</f>
        <v>-6.99999999999999</v>
      </c>
      <c r="H31" s="37" t="n">
        <f aca="false">MIN(I8:I27)</f>
        <v>0.0232</v>
      </c>
      <c r="I31" s="37" t="n">
        <f aca="false">MAX(I8:I27)</f>
        <v>0.0365</v>
      </c>
      <c r="J31" s="39" t="n">
        <f aca="false">AVERAGE(N8:N27)</f>
        <v>10</v>
      </c>
      <c r="K31" s="39" t="n">
        <f aca="false">(2*H17-H9-H23)*10000</f>
        <v>-61</v>
      </c>
    </row>
  </sheetData>
  <mergeCells count="4">
    <mergeCell ref="A1:N1"/>
    <mergeCell ref="A2:N2"/>
    <mergeCell ref="A4:B4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W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8" min="8" style="1" width="8"/>
    <col collapsed="false" customWidth="true" hidden="false" outlineLevel="0" max="10" min="9" style="1" width="14"/>
    <col collapsed="false" customWidth="true" hidden="false" outlineLevel="0" max="22" min="11" style="1" width="12"/>
    <col collapsed="false" customWidth="true" hidden="false" outlineLevel="0" max="23" min="23" style="1" width="20"/>
  </cols>
  <sheetData>
    <row r="1" customFormat="false" ht="37.5" hidden="false" customHeight="true" outlineLevel="0" collapsed="false">
      <c r="A1" s="22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customFormat="false" ht="18" hidden="false" customHeight="true" outlineLevel="0" collapsed="false">
      <c r="A2" s="23" t="s">
        <v>89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customFormat="false" ht="7.5" hidden="false" customHeight="true" outlineLevel="0" collapsed="false"/>
    <row r="4" customFormat="false" ht="19.5" hidden="false" customHeight="true" outlineLevel="0" collapsed="false">
      <c r="A4" s="40" t="s">
        <v>90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customFormat="false" ht="6" hidden="false" customHeight="true" outlineLevel="0" collapsed="false"/>
    <row r="6" customFormat="false" ht="24" hidden="false" customHeight="true" outlineLevel="0" collapsed="false">
      <c r="A6" s="41" t="s">
        <v>56</v>
      </c>
      <c r="B6" s="42" t="s">
        <v>91</v>
      </c>
      <c r="C6" s="42"/>
      <c r="D6" s="42"/>
      <c r="E6" s="43" t="s">
        <v>92</v>
      </c>
      <c r="F6" s="43"/>
      <c r="G6" s="43"/>
      <c r="H6" s="43"/>
      <c r="I6" s="44" t="s">
        <v>93</v>
      </c>
      <c r="J6" s="44"/>
      <c r="K6" s="44"/>
      <c r="L6" s="42" t="s">
        <v>94</v>
      </c>
      <c r="M6" s="42"/>
      <c r="N6" s="42"/>
      <c r="O6" s="43" t="s">
        <v>95</v>
      </c>
      <c r="P6" s="43"/>
      <c r="Q6" s="43"/>
      <c r="R6" s="44" t="s">
        <v>96</v>
      </c>
      <c r="S6" s="44"/>
      <c r="T6" s="44"/>
      <c r="U6" s="42" t="s">
        <v>97</v>
      </c>
      <c r="V6" s="42"/>
      <c r="W6" s="42"/>
    </row>
    <row r="7" customFormat="false" ht="27.75" hidden="false" customHeight="true" outlineLevel="0" collapsed="false">
      <c r="A7" s="45" t="s">
        <v>56</v>
      </c>
      <c r="B7" s="46" t="s">
        <v>36</v>
      </c>
      <c r="C7" s="46" t="s">
        <v>37</v>
      </c>
      <c r="D7" s="46" t="s">
        <v>98</v>
      </c>
      <c r="E7" s="46" t="s">
        <v>99</v>
      </c>
      <c r="F7" s="46" t="s">
        <v>39</v>
      </c>
      <c r="G7" s="46" t="s">
        <v>100</v>
      </c>
      <c r="H7" s="46" t="s">
        <v>101</v>
      </c>
      <c r="I7" s="46" t="s">
        <v>102</v>
      </c>
      <c r="J7" s="46" t="s">
        <v>103</v>
      </c>
      <c r="K7" s="46" t="s">
        <v>104</v>
      </c>
      <c r="L7" s="45" t="s">
        <v>105</v>
      </c>
      <c r="M7" s="45" t="s">
        <v>106</v>
      </c>
      <c r="N7" s="45" t="s">
        <v>107</v>
      </c>
      <c r="O7" s="45" t="s">
        <v>108</v>
      </c>
      <c r="P7" s="45" t="s">
        <v>109</v>
      </c>
      <c r="Q7" s="45" t="s">
        <v>110</v>
      </c>
      <c r="R7" s="45" t="s">
        <v>111</v>
      </c>
      <c r="S7" s="45" t="s">
        <v>112</v>
      </c>
      <c r="T7" s="45" t="s">
        <v>113</v>
      </c>
      <c r="U7" s="45" t="s">
        <v>114</v>
      </c>
      <c r="V7" s="45" t="s">
        <v>115</v>
      </c>
      <c r="W7" s="46" t="s">
        <v>116</v>
      </c>
    </row>
    <row r="8" customFormat="false" ht="18.75" hidden="false" customHeight="true" outlineLevel="0" collapsed="false">
      <c r="A8" s="47" t="n">
        <v>1</v>
      </c>
      <c r="B8" s="48" t="s">
        <v>117</v>
      </c>
      <c r="C8" s="48" t="s">
        <v>118</v>
      </c>
      <c r="D8" s="48" t="s">
        <v>119</v>
      </c>
      <c r="E8" s="48" t="s">
        <v>120</v>
      </c>
      <c r="F8" s="48" t="s">
        <v>121</v>
      </c>
      <c r="G8" s="48" t="s">
        <v>122</v>
      </c>
      <c r="H8" s="48" t="n">
        <v>10</v>
      </c>
      <c r="I8" s="48" t="n">
        <v>100</v>
      </c>
      <c r="J8" s="48" t="n">
        <v>2.52</v>
      </c>
      <c r="K8" s="48" t="n">
        <v>0</v>
      </c>
      <c r="L8" s="32" t="n">
        <f aca="false">IF(J8="","",J8/100)</f>
        <v>0.0252</v>
      </c>
      <c r="M8" s="32" t="n">
        <f aca="false">IF(H8="","",IFERROR(VLOOKUP(H8*1,COURBE!$B$8:$N$27,IF(F8="ESTER",7,8),0),0))</f>
        <v>0</v>
      </c>
      <c r="N8" s="49" t="n">
        <f aca="false">IF(L8="","",IF(G8="PAY",M8-L8,L8-M8))</f>
        <v>-0.0252</v>
      </c>
      <c r="O8" s="50" t="n">
        <f aca="false">IF(H8="","",IF(G8="PAY",-1,1)*I8*1000000*H8/10000)</f>
        <v>-100000</v>
      </c>
      <c r="P8" s="50" t="n">
        <f aca="false">IF(H8="","",I8*1000000*L8*H8/10000)</f>
        <v>2520</v>
      </c>
      <c r="Q8" s="51" t="n">
        <f aca="false">IF(O8="","",O8)</f>
        <v>-100000</v>
      </c>
      <c r="R8" s="50" t="n">
        <f aca="false">IF(L8="","",IF(G8="PAY",(M8-L8),-( M8-L8))*I8*1000000/365)</f>
        <v>-6904.1095890411</v>
      </c>
      <c r="S8" s="49" t="n">
        <f aca="false">IF(H8="","",IFERROR((VLOOKUP(H8*1,COURBE!$B$8:$N$27,IF(F8="ESTER",7,8),0)-VLOOKUP(MAX(H8-1,1),COURBE!$B$8:$N$27,IF(F8="ESTER",7,8),0))*10000,0))</f>
        <v>0</v>
      </c>
      <c r="T8" s="50" t="n">
        <f aca="false">IF(R8="","",R8*90+IF(S8="",0,S8)*I8*1000000/10000*H8/365)</f>
        <v>-621369.863013699</v>
      </c>
      <c r="U8" s="52" t="n">
        <f aca="false">IF(L8="","",O8*(M8-L8)*10000)</f>
        <v>25200000</v>
      </c>
      <c r="V8" s="50" t="n">
        <f aca="false">IF(O8="","",0)</f>
        <v>0</v>
      </c>
      <c r="W8" s="53"/>
    </row>
    <row r="9" customFormat="false" ht="18.75" hidden="false" customHeight="true" outlineLevel="0" collapsed="false">
      <c r="A9" s="47" t="n">
        <v>2</v>
      </c>
      <c r="B9" s="48" t="s">
        <v>123</v>
      </c>
      <c r="C9" s="48" t="s">
        <v>124</v>
      </c>
      <c r="D9" s="48" t="s">
        <v>125</v>
      </c>
      <c r="E9" s="48" t="s">
        <v>126</v>
      </c>
      <c r="F9" s="48" t="s">
        <v>127</v>
      </c>
      <c r="G9" s="48" t="s">
        <v>128</v>
      </c>
      <c r="H9" s="48" t="n">
        <v>5</v>
      </c>
      <c r="I9" s="48" t="n">
        <v>50</v>
      </c>
      <c r="J9" s="48" t="n">
        <v>2.68</v>
      </c>
      <c r="K9" s="48" t="n">
        <v>0</v>
      </c>
      <c r="L9" s="32" t="n">
        <f aca="false">IF(J9="","",J9/100)</f>
        <v>0.0268</v>
      </c>
      <c r="M9" s="32" t="n">
        <f aca="false">IF(H9="","",IFERROR(VLOOKUP(H9*1,COURBE!$B$8:$N$27,IF(F9="ESTER",7,8),0),0))</f>
        <v>0</v>
      </c>
      <c r="N9" s="49" t="n">
        <f aca="false">IF(L9="","",IF(G9="PAY",M9-L9,L9-M9))</f>
        <v>0.0268</v>
      </c>
      <c r="O9" s="50" t="n">
        <f aca="false">IF(H9="","",IF(G9="PAY",-1,1)*I9*1000000*H9/10000)</f>
        <v>25000</v>
      </c>
      <c r="P9" s="50" t="n">
        <f aca="false">IF(H9="","",I9*1000000*L9*H9/10000)</f>
        <v>670</v>
      </c>
      <c r="Q9" s="51" t="n">
        <f aca="false">IF(O9="","",O9)</f>
        <v>25000</v>
      </c>
      <c r="R9" s="50" t="n">
        <f aca="false">IF(L9="","",IF(G9="PAY",(M9-L9),-( M9-L9))*I9*1000000/365)</f>
        <v>3671.23287671233</v>
      </c>
      <c r="S9" s="49" t="n">
        <f aca="false">IF(H9="","",IFERROR((VLOOKUP(H9*1,COURBE!$B$8:$N$27,IF(F9="ESTER",7,8),0)-VLOOKUP(MAX(H9-1,1),COURBE!$B$8:$N$27,IF(F9="ESTER",7,8),0))*10000,0))</f>
        <v>0</v>
      </c>
      <c r="T9" s="50" t="n">
        <f aca="false">IF(R9="","",R9*90+IF(S9="",0,S9)*I9*1000000/10000*H9/365)</f>
        <v>330410.95890411</v>
      </c>
      <c r="U9" s="52" t="n">
        <f aca="false">IF(L9="","",O9*(M9-L9)*10000)</f>
        <v>-6700000</v>
      </c>
      <c r="V9" s="50" t="n">
        <f aca="false">IF(O9="","",0)</f>
        <v>0</v>
      </c>
      <c r="W9" s="54"/>
    </row>
    <row r="10" customFormat="false" ht="18.75" hidden="false" customHeight="true" outlineLevel="0" collapsed="false">
      <c r="A10" s="47" t="n">
        <v>3</v>
      </c>
      <c r="B10" s="48" t="s">
        <v>129</v>
      </c>
      <c r="C10" s="48" t="s">
        <v>130</v>
      </c>
      <c r="D10" s="48" t="s">
        <v>131</v>
      </c>
      <c r="E10" s="48" t="s">
        <v>132</v>
      </c>
      <c r="F10" s="48" t="s">
        <v>121</v>
      </c>
      <c r="G10" s="48" t="s">
        <v>128</v>
      </c>
      <c r="H10" s="48" t="n">
        <v>30</v>
      </c>
      <c r="I10" s="48" t="n">
        <v>75</v>
      </c>
      <c r="J10" s="48" t="n">
        <v>2.45</v>
      </c>
      <c r="K10" s="48" t="n">
        <v>0</v>
      </c>
      <c r="L10" s="32" t="n">
        <f aca="false">IF(J10="","",J10/100)</f>
        <v>0.0245</v>
      </c>
      <c r="M10" s="32" t="n">
        <f aca="false">IF(H10="","",IFERROR(VLOOKUP(H10*1,COURBE!$B$8:$N$27,IF(F10="ESTER",7,8),0),0))</f>
        <v>0</v>
      </c>
      <c r="N10" s="49" t="n">
        <f aca="false">IF(L10="","",IF(G10="PAY",M10-L10,L10-M10))</f>
        <v>0.0245</v>
      </c>
      <c r="O10" s="50" t="n">
        <f aca="false">IF(H10="","",IF(G10="PAY",-1,1)*I10*1000000*H10/10000)</f>
        <v>225000</v>
      </c>
      <c r="P10" s="50" t="n">
        <f aca="false">IF(H10="","",I10*1000000*L10*H10/10000)</f>
        <v>5512.5</v>
      </c>
      <c r="Q10" s="51" t="n">
        <f aca="false">IF(O10="","",O10)</f>
        <v>225000</v>
      </c>
      <c r="R10" s="50" t="n">
        <f aca="false">IF(L10="","",IF(G10="PAY",(M10-L10),-( M10-L10))*I10*1000000/365)</f>
        <v>5034.24657534247</v>
      </c>
      <c r="S10" s="49" t="n">
        <f aca="false">IF(H10="","",IFERROR((VLOOKUP(H10*1,COURBE!$B$8:$N$27,IF(F10="ESTER",7,8),0)-VLOOKUP(MAX(H10-1,1),COURBE!$B$8:$N$27,IF(F10="ESTER",7,8),0))*10000,0))</f>
        <v>0</v>
      </c>
      <c r="T10" s="50" t="n">
        <f aca="false">IF(R10="","",R10*90+IF(S10="",0,S10)*I10*1000000/10000*H10/365)</f>
        <v>453082.191780822</v>
      </c>
      <c r="U10" s="52" t="n">
        <f aca="false">IF(L10="","",O10*(M10-L10)*10000)</f>
        <v>-55125000</v>
      </c>
      <c r="V10" s="50" t="n">
        <f aca="false">IF(O10="","",0)</f>
        <v>0</v>
      </c>
      <c r="W10" s="53"/>
    </row>
    <row r="11" customFormat="false" ht="18.75" hidden="false" customHeight="true" outlineLevel="0" collapsed="false">
      <c r="A11" s="47" t="n">
        <v>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32" t="str">
        <f aca="false">IF(J11="","",J11/100)</f>
        <v/>
      </c>
      <c r="M11" s="32" t="str">
        <f aca="false">IF(H11="","",IFERROR(VLOOKUP(H11*1,COURBE!$B$8:$N$27,IF(F11="ESTER",7,8),0),0))</f>
        <v/>
      </c>
      <c r="N11" s="49" t="str">
        <f aca="false">IF(L11="","",IF(G11="PAY",M11-L11,L11-M11))</f>
        <v/>
      </c>
      <c r="O11" s="50" t="str">
        <f aca="false">IF(H11="","",IF(G11="PAY",-1,1)*I11*1000000*H11/10000)</f>
        <v/>
      </c>
      <c r="P11" s="50" t="str">
        <f aca="false">IF(H11="","",I11*1000000*L11*H11/10000)</f>
        <v/>
      </c>
      <c r="Q11" s="51" t="str">
        <f aca="false">IF(O11="","",O11)</f>
        <v/>
      </c>
      <c r="R11" s="50" t="str">
        <f aca="false">IF(L11="","",IF(G11="PAY",(M11-L11),-( M11-L11))*I11*1000000/365)</f>
        <v/>
      </c>
      <c r="S11" s="49" t="str">
        <f aca="false">IF(H11="","",IFERROR((VLOOKUP(H11*1,COURBE!$B$8:$N$27,IF(F11="ESTER",7,8),0)-VLOOKUP(MAX(H11-1,1),COURBE!$B$8:$N$27,IF(F11="ESTER",7,8),0))*10000,0))</f>
        <v/>
      </c>
      <c r="T11" s="50" t="str">
        <f aca="false">IF(R11="","",R11*90+IF(S11="",0,S11)*I11*1000000/10000*H11/365)</f>
        <v/>
      </c>
      <c r="U11" s="52" t="str">
        <f aca="false">IF(L11="","",O11*(M11-L11)*10000)</f>
        <v/>
      </c>
      <c r="V11" s="50" t="str">
        <f aca="false">IF(O11="","",0)</f>
        <v/>
      </c>
      <c r="W11" s="54"/>
    </row>
    <row r="12" customFormat="false" ht="18.75" hidden="false" customHeight="true" outlineLevel="0" collapsed="false">
      <c r="A12" s="47" t="n">
        <v>5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32" t="str">
        <f aca="false">IF(J12="","",J12/100)</f>
        <v/>
      </c>
      <c r="M12" s="32" t="str">
        <f aca="false">IF(H12="","",IFERROR(VLOOKUP(H12*1,COURBE!$B$8:$N$27,IF(F12="ESTER",7,8),0),0))</f>
        <v/>
      </c>
      <c r="N12" s="49" t="str">
        <f aca="false">IF(L12="","",IF(G12="PAY",M12-L12,L12-M12))</f>
        <v/>
      </c>
      <c r="O12" s="50" t="str">
        <f aca="false">IF(H12="","",IF(G12="PAY",-1,1)*I12*1000000*H12/10000)</f>
        <v/>
      </c>
      <c r="P12" s="50" t="str">
        <f aca="false">IF(H12="","",I12*1000000*L12*H12/10000)</f>
        <v/>
      </c>
      <c r="Q12" s="51" t="str">
        <f aca="false">IF(O12="","",O12)</f>
        <v/>
      </c>
      <c r="R12" s="50" t="str">
        <f aca="false">IF(L12="","",IF(G12="PAY",(M12-L12),-( M12-L12))*I12*1000000/365)</f>
        <v/>
      </c>
      <c r="S12" s="49" t="str">
        <f aca="false">IF(H12="","",IFERROR((VLOOKUP(H12*1,COURBE!$B$8:$N$27,IF(F12="ESTER",7,8),0)-VLOOKUP(MAX(H12-1,1),COURBE!$B$8:$N$27,IF(F12="ESTER",7,8),0))*10000,0))</f>
        <v/>
      </c>
      <c r="T12" s="50" t="str">
        <f aca="false">IF(R12="","",R12*90+IF(S12="",0,S12)*I12*1000000/10000*H12/365)</f>
        <v/>
      </c>
      <c r="U12" s="52" t="str">
        <f aca="false">IF(L12="","",O12*(M12-L12)*10000)</f>
        <v/>
      </c>
      <c r="V12" s="50" t="str">
        <f aca="false">IF(O12="","",0)</f>
        <v/>
      </c>
      <c r="W12" s="53"/>
    </row>
    <row r="13" customFormat="false" ht="18.75" hidden="false" customHeight="true" outlineLevel="0" collapsed="false">
      <c r="A13" s="47" t="n">
        <v>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32" t="str">
        <f aca="false">IF(J13="","",J13/100)</f>
        <v/>
      </c>
      <c r="M13" s="32" t="str">
        <f aca="false">IF(H13="","",IFERROR(VLOOKUP(H13*1,COURBE!$B$8:$N$27,IF(F13="ESTER",7,8),0),0))</f>
        <v/>
      </c>
      <c r="N13" s="49" t="str">
        <f aca="false">IF(L13="","",IF(G13="PAY",M13-L13,L13-M13))</f>
        <v/>
      </c>
      <c r="O13" s="50" t="str">
        <f aca="false">IF(H13="","",IF(G13="PAY",-1,1)*I13*1000000*H13/10000)</f>
        <v/>
      </c>
      <c r="P13" s="50" t="str">
        <f aca="false">IF(H13="","",I13*1000000*L13*H13/10000)</f>
        <v/>
      </c>
      <c r="Q13" s="51" t="str">
        <f aca="false">IF(O13="","",O13)</f>
        <v/>
      </c>
      <c r="R13" s="50" t="str">
        <f aca="false">IF(L13="","",IF(G13="PAY",(M13-L13),-( M13-L13))*I13*1000000/365)</f>
        <v/>
      </c>
      <c r="S13" s="49" t="str">
        <f aca="false">IF(H13="","",IFERROR((VLOOKUP(H13*1,COURBE!$B$8:$N$27,IF(F13="ESTER",7,8),0)-VLOOKUP(MAX(H13-1,1),COURBE!$B$8:$N$27,IF(F13="ESTER",7,8),0))*10000,0))</f>
        <v/>
      </c>
      <c r="T13" s="50" t="str">
        <f aca="false">IF(R13="","",R13*90+IF(S13="",0,S13)*I13*1000000/10000*H13/365)</f>
        <v/>
      </c>
      <c r="U13" s="52" t="str">
        <f aca="false">IF(L13="","",O13*(M13-L13)*10000)</f>
        <v/>
      </c>
      <c r="V13" s="50" t="str">
        <f aca="false">IF(O13="","",0)</f>
        <v/>
      </c>
      <c r="W13" s="54"/>
    </row>
    <row r="14" customFormat="false" ht="18.75" hidden="false" customHeight="true" outlineLevel="0" collapsed="false">
      <c r="A14" s="47" t="n">
        <v>7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32" t="str">
        <f aca="false">IF(J14="","",J14/100)</f>
        <v/>
      </c>
      <c r="M14" s="32" t="str">
        <f aca="false">IF(H14="","",IFERROR(VLOOKUP(H14*1,COURBE!$B$8:$N$27,IF(F14="ESTER",7,8),0),0))</f>
        <v/>
      </c>
      <c r="N14" s="49" t="str">
        <f aca="false">IF(L14="","",IF(G14="PAY",M14-L14,L14-M14))</f>
        <v/>
      </c>
      <c r="O14" s="50" t="str">
        <f aca="false">IF(H14="","",IF(G14="PAY",-1,1)*I14*1000000*H14/10000)</f>
        <v/>
      </c>
      <c r="P14" s="50" t="str">
        <f aca="false">IF(H14="","",I14*1000000*L14*H14/10000)</f>
        <v/>
      </c>
      <c r="Q14" s="51" t="str">
        <f aca="false">IF(O14="","",O14)</f>
        <v/>
      </c>
      <c r="R14" s="50" t="str">
        <f aca="false">IF(L14="","",IF(G14="PAY",(M14-L14),-( M14-L14))*I14*1000000/365)</f>
        <v/>
      </c>
      <c r="S14" s="49" t="str">
        <f aca="false">IF(H14="","",IFERROR((VLOOKUP(H14*1,COURBE!$B$8:$N$27,IF(F14="ESTER",7,8),0)-VLOOKUP(MAX(H14-1,1),COURBE!$B$8:$N$27,IF(F14="ESTER",7,8),0))*10000,0))</f>
        <v/>
      </c>
      <c r="T14" s="50" t="str">
        <f aca="false">IF(R14="","",R14*90+IF(S14="",0,S14)*I14*1000000/10000*H14/365)</f>
        <v/>
      </c>
      <c r="U14" s="52" t="str">
        <f aca="false">IF(L14="","",O14*(M14-L14)*10000)</f>
        <v/>
      </c>
      <c r="V14" s="50" t="str">
        <f aca="false">IF(O14="","",0)</f>
        <v/>
      </c>
      <c r="W14" s="53"/>
    </row>
    <row r="15" customFormat="false" ht="18.75" hidden="false" customHeight="true" outlineLevel="0" collapsed="false">
      <c r="A15" s="47" t="n">
        <v>8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32" t="str">
        <f aca="false">IF(J15="","",J15/100)</f>
        <v/>
      </c>
      <c r="M15" s="32" t="str">
        <f aca="false">IF(H15="","",IFERROR(VLOOKUP(H15*1,COURBE!$B$8:$N$27,IF(F15="ESTER",7,8),0),0))</f>
        <v/>
      </c>
      <c r="N15" s="49" t="str">
        <f aca="false">IF(L15="","",IF(G15="PAY",M15-L15,L15-M15))</f>
        <v/>
      </c>
      <c r="O15" s="50" t="str">
        <f aca="false">IF(H15="","",IF(G15="PAY",-1,1)*I15*1000000*H15/10000)</f>
        <v/>
      </c>
      <c r="P15" s="50" t="str">
        <f aca="false">IF(H15="","",I15*1000000*L15*H15/10000)</f>
        <v/>
      </c>
      <c r="Q15" s="51" t="str">
        <f aca="false">IF(O15="","",O15)</f>
        <v/>
      </c>
      <c r="R15" s="50" t="str">
        <f aca="false">IF(L15="","",IF(G15="PAY",(M15-L15),-( M15-L15))*I15*1000000/365)</f>
        <v/>
      </c>
      <c r="S15" s="49" t="str">
        <f aca="false">IF(H15="","",IFERROR((VLOOKUP(H15*1,COURBE!$B$8:$N$27,IF(F15="ESTER",7,8),0)-VLOOKUP(MAX(H15-1,1),COURBE!$B$8:$N$27,IF(F15="ESTER",7,8),0))*10000,0))</f>
        <v/>
      </c>
      <c r="T15" s="50" t="str">
        <f aca="false">IF(R15="","",R15*90+IF(S15="",0,S15)*I15*1000000/10000*H15/365)</f>
        <v/>
      </c>
      <c r="U15" s="52" t="str">
        <f aca="false">IF(L15="","",O15*(M15-L15)*10000)</f>
        <v/>
      </c>
      <c r="V15" s="50" t="str">
        <f aca="false">IF(O15="","",0)</f>
        <v/>
      </c>
      <c r="W15" s="54"/>
    </row>
    <row r="16" customFormat="false" ht="18.75" hidden="false" customHeight="true" outlineLevel="0" collapsed="false">
      <c r="A16" s="47" t="n">
        <v>9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32" t="str">
        <f aca="false">IF(J16="","",J16/100)</f>
        <v/>
      </c>
      <c r="M16" s="32" t="str">
        <f aca="false">IF(H16="","",IFERROR(VLOOKUP(H16*1,COURBE!$B$8:$N$27,IF(F16="ESTER",7,8),0),0))</f>
        <v/>
      </c>
      <c r="N16" s="49" t="str">
        <f aca="false">IF(L16="","",IF(G16="PAY",M16-L16,L16-M16))</f>
        <v/>
      </c>
      <c r="O16" s="50" t="str">
        <f aca="false">IF(H16="","",IF(G16="PAY",-1,1)*I16*1000000*H16/10000)</f>
        <v/>
      </c>
      <c r="P16" s="50" t="str">
        <f aca="false">IF(H16="","",I16*1000000*L16*H16/10000)</f>
        <v/>
      </c>
      <c r="Q16" s="51" t="str">
        <f aca="false">IF(O16="","",O16)</f>
        <v/>
      </c>
      <c r="R16" s="50" t="str">
        <f aca="false">IF(L16="","",IF(G16="PAY",(M16-L16),-( M16-L16))*I16*1000000/365)</f>
        <v/>
      </c>
      <c r="S16" s="49" t="str">
        <f aca="false">IF(H16="","",IFERROR((VLOOKUP(H16*1,COURBE!$B$8:$N$27,IF(F16="ESTER",7,8),0)-VLOOKUP(MAX(H16-1,1),COURBE!$B$8:$N$27,IF(F16="ESTER",7,8),0))*10000,0))</f>
        <v/>
      </c>
      <c r="T16" s="50" t="str">
        <f aca="false">IF(R16="","",R16*90+IF(S16="",0,S16)*I16*1000000/10000*H16/365)</f>
        <v/>
      </c>
      <c r="U16" s="52" t="str">
        <f aca="false">IF(L16="","",O16*(M16-L16)*10000)</f>
        <v/>
      </c>
      <c r="V16" s="50" t="str">
        <f aca="false">IF(O16="","",0)</f>
        <v/>
      </c>
      <c r="W16" s="53"/>
    </row>
    <row r="17" customFormat="false" ht="18.75" hidden="false" customHeight="true" outlineLevel="0" collapsed="false">
      <c r="A17" s="47" t="n">
        <v>10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32" t="str">
        <f aca="false">IF(J17="","",J17/100)</f>
        <v/>
      </c>
      <c r="M17" s="32" t="str">
        <f aca="false">IF(H17="","",IFERROR(VLOOKUP(H17*1,COURBE!$B$8:$N$27,IF(F17="ESTER",7,8),0),0))</f>
        <v/>
      </c>
      <c r="N17" s="49" t="str">
        <f aca="false">IF(L17="","",IF(G17="PAY",M17-L17,L17-M17))</f>
        <v/>
      </c>
      <c r="O17" s="50" t="str">
        <f aca="false">IF(H17="","",IF(G17="PAY",-1,1)*I17*1000000*H17/10000)</f>
        <v/>
      </c>
      <c r="P17" s="50" t="str">
        <f aca="false">IF(H17="","",I17*1000000*L17*H17/10000)</f>
        <v/>
      </c>
      <c r="Q17" s="51" t="str">
        <f aca="false">IF(O17="","",O17)</f>
        <v/>
      </c>
      <c r="R17" s="50" t="str">
        <f aca="false">IF(L17="","",IF(G17="PAY",(M17-L17),-( M17-L17))*I17*1000000/365)</f>
        <v/>
      </c>
      <c r="S17" s="49" t="str">
        <f aca="false">IF(H17="","",IFERROR((VLOOKUP(H17*1,COURBE!$B$8:$N$27,IF(F17="ESTER",7,8),0)-VLOOKUP(MAX(H17-1,1),COURBE!$B$8:$N$27,IF(F17="ESTER",7,8),0))*10000,0))</f>
        <v/>
      </c>
      <c r="T17" s="50" t="str">
        <f aca="false">IF(R17="","",R17*90+IF(S17="",0,S17)*I17*1000000/10000*H17/365)</f>
        <v/>
      </c>
      <c r="U17" s="52" t="str">
        <f aca="false">IF(L17="","",O17*(M17-L17)*10000)</f>
        <v/>
      </c>
      <c r="V17" s="50" t="str">
        <f aca="false">IF(O17="","",0)</f>
        <v/>
      </c>
      <c r="W17" s="54"/>
    </row>
    <row r="18" customFormat="false" ht="18.75" hidden="false" customHeight="true" outlineLevel="0" collapsed="false">
      <c r="A18" s="47" t="n">
        <v>11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32" t="str">
        <f aca="false">IF(J18="","",J18/100)</f>
        <v/>
      </c>
      <c r="M18" s="32" t="str">
        <f aca="false">IF(H18="","",IFERROR(VLOOKUP(H18*1,COURBE!$B$8:$N$27,IF(F18="ESTER",7,8),0),0))</f>
        <v/>
      </c>
      <c r="N18" s="49" t="str">
        <f aca="false">IF(L18="","",IF(G18="PAY",M18-L18,L18-M18))</f>
        <v/>
      </c>
      <c r="O18" s="50" t="str">
        <f aca="false">IF(H18="","",IF(G18="PAY",-1,1)*I18*1000000*H18/10000)</f>
        <v/>
      </c>
      <c r="P18" s="50" t="str">
        <f aca="false">IF(H18="","",I18*1000000*L18*H18/10000)</f>
        <v/>
      </c>
      <c r="Q18" s="51" t="str">
        <f aca="false">IF(O18="","",O18)</f>
        <v/>
      </c>
      <c r="R18" s="50" t="str">
        <f aca="false">IF(L18="","",IF(G18="PAY",(M18-L18),-( M18-L18))*I18*1000000/365)</f>
        <v/>
      </c>
      <c r="S18" s="49" t="str">
        <f aca="false">IF(H18="","",IFERROR((VLOOKUP(H18*1,COURBE!$B$8:$N$27,IF(F18="ESTER",7,8),0)-VLOOKUP(MAX(H18-1,1),COURBE!$B$8:$N$27,IF(F18="ESTER",7,8),0))*10000,0))</f>
        <v/>
      </c>
      <c r="T18" s="50" t="str">
        <f aca="false">IF(R18="","",R18*90+IF(S18="",0,S18)*I18*1000000/10000*H18/365)</f>
        <v/>
      </c>
      <c r="U18" s="52" t="str">
        <f aca="false">IF(L18="","",O18*(M18-L18)*10000)</f>
        <v/>
      </c>
      <c r="V18" s="50" t="str">
        <f aca="false">IF(O18="","",0)</f>
        <v/>
      </c>
      <c r="W18" s="53"/>
    </row>
    <row r="19" customFormat="false" ht="18.75" hidden="false" customHeight="true" outlineLevel="0" collapsed="false">
      <c r="A19" s="47" t="n">
        <v>12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32" t="str">
        <f aca="false">IF(J19="","",J19/100)</f>
        <v/>
      </c>
      <c r="M19" s="32" t="str">
        <f aca="false">IF(H19="","",IFERROR(VLOOKUP(H19*1,COURBE!$B$8:$N$27,IF(F19="ESTER",7,8),0),0))</f>
        <v/>
      </c>
      <c r="N19" s="49" t="str">
        <f aca="false">IF(L19="","",IF(G19="PAY",M19-L19,L19-M19))</f>
        <v/>
      </c>
      <c r="O19" s="50" t="str">
        <f aca="false">IF(H19="","",IF(G19="PAY",-1,1)*I19*1000000*H19/10000)</f>
        <v/>
      </c>
      <c r="P19" s="50" t="str">
        <f aca="false">IF(H19="","",I19*1000000*L19*H19/10000)</f>
        <v/>
      </c>
      <c r="Q19" s="51" t="str">
        <f aca="false">IF(O19="","",O19)</f>
        <v/>
      </c>
      <c r="R19" s="50" t="str">
        <f aca="false">IF(L19="","",IF(G19="PAY",(M19-L19),-( M19-L19))*I19*1000000/365)</f>
        <v/>
      </c>
      <c r="S19" s="49" t="str">
        <f aca="false">IF(H19="","",IFERROR((VLOOKUP(H19*1,COURBE!$B$8:$N$27,IF(F19="ESTER",7,8),0)-VLOOKUP(MAX(H19-1,1),COURBE!$B$8:$N$27,IF(F19="ESTER",7,8),0))*10000,0))</f>
        <v/>
      </c>
      <c r="T19" s="50" t="str">
        <f aca="false">IF(R19="","",R19*90+IF(S19="",0,S19)*I19*1000000/10000*H19/365)</f>
        <v/>
      </c>
      <c r="U19" s="52" t="str">
        <f aca="false">IF(L19="","",O19*(M19-L19)*10000)</f>
        <v/>
      </c>
      <c r="V19" s="50" t="str">
        <f aca="false">IF(O19="","",0)</f>
        <v/>
      </c>
      <c r="W19" s="54"/>
    </row>
    <row r="20" customFormat="false" ht="18.75" hidden="false" customHeight="true" outlineLevel="0" collapsed="false">
      <c r="A20" s="47" t="n">
        <v>13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32" t="str">
        <f aca="false">IF(J20="","",J20/100)</f>
        <v/>
      </c>
      <c r="M20" s="32" t="str">
        <f aca="false">IF(H20="","",IFERROR(VLOOKUP(H20*1,COURBE!$B$8:$N$27,IF(F20="ESTER",7,8),0),0))</f>
        <v/>
      </c>
      <c r="N20" s="49" t="str">
        <f aca="false">IF(L20="","",IF(G20="PAY",M20-L20,L20-M20))</f>
        <v/>
      </c>
      <c r="O20" s="50" t="str">
        <f aca="false">IF(H20="","",IF(G20="PAY",-1,1)*I20*1000000*H20/10000)</f>
        <v/>
      </c>
      <c r="P20" s="50" t="str">
        <f aca="false">IF(H20="","",I20*1000000*L20*H20/10000)</f>
        <v/>
      </c>
      <c r="Q20" s="51" t="str">
        <f aca="false">IF(O20="","",O20)</f>
        <v/>
      </c>
      <c r="R20" s="50" t="str">
        <f aca="false">IF(L20="","",IF(G20="PAY",(M20-L20),-( M20-L20))*I20*1000000/365)</f>
        <v/>
      </c>
      <c r="S20" s="49" t="str">
        <f aca="false">IF(H20="","",IFERROR((VLOOKUP(H20*1,COURBE!$B$8:$N$27,IF(F20="ESTER",7,8),0)-VLOOKUP(MAX(H20-1,1),COURBE!$B$8:$N$27,IF(F20="ESTER",7,8),0))*10000,0))</f>
        <v/>
      </c>
      <c r="T20" s="50" t="str">
        <f aca="false">IF(R20="","",R20*90+IF(S20="",0,S20)*I20*1000000/10000*H20/365)</f>
        <v/>
      </c>
      <c r="U20" s="52" t="str">
        <f aca="false">IF(L20="","",O20*(M20-L20)*10000)</f>
        <v/>
      </c>
      <c r="V20" s="50" t="str">
        <f aca="false">IF(O20="","",0)</f>
        <v/>
      </c>
      <c r="W20" s="53"/>
    </row>
    <row r="21" customFormat="false" ht="18.75" hidden="false" customHeight="true" outlineLevel="0" collapsed="false">
      <c r="A21" s="47" t="n">
        <v>14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32" t="str">
        <f aca="false">IF(J21="","",J21/100)</f>
        <v/>
      </c>
      <c r="M21" s="32" t="str">
        <f aca="false">IF(H21="","",IFERROR(VLOOKUP(H21*1,COURBE!$B$8:$N$27,IF(F21="ESTER",7,8),0),0))</f>
        <v/>
      </c>
      <c r="N21" s="49" t="str">
        <f aca="false">IF(L21="","",IF(G21="PAY",M21-L21,L21-M21))</f>
        <v/>
      </c>
      <c r="O21" s="50" t="str">
        <f aca="false">IF(H21="","",IF(G21="PAY",-1,1)*I21*1000000*H21/10000)</f>
        <v/>
      </c>
      <c r="P21" s="50" t="str">
        <f aca="false">IF(H21="","",I21*1000000*L21*H21/10000)</f>
        <v/>
      </c>
      <c r="Q21" s="51" t="str">
        <f aca="false">IF(O21="","",O21)</f>
        <v/>
      </c>
      <c r="R21" s="50" t="str">
        <f aca="false">IF(L21="","",IF(G21="PAY",(M21-L21),-( M21-L21))*I21*1000000/365)</f>
        <v/>
      </c>
      <c r="S21" s="49" t="str">
        <f aca="false">IF(H21="","",IFERROR((VLOOKUP(H21*1,COURBE!$B$8:$N$27,IF(F21="ESTER",7,8),0)-VLOOKUP(MAX(H21-1,1),COURBE!$B$8:$N$27,IF(F21="ESTER",7,8),0))*10000,0))</f>
        <v/>
      </c>
      <c r="T21" s="50" t="str">
        <f aca="false">IF(R21="","",R21*90+IF(S21="",0,S21)*I21*1000000/10000*H21/365)</f>
        <v/>
      </c>
      <c r="U21" s="52" t="str">
        <f aca="false">IF(L21="","",O21*(M21-L21)*10000)</f>
        <v/>
      </c>
      <c r="V21" s="50" t="str">
        <f aca="false">IF(O21="","",0)</f>
        <v/>
      </c>
      <c r="W21" s="54"/>
    </row>
    <row r="22" customFormat="false" ht="18.75" hidden="false" customHeight="true" outlineLevel="0" collapsed="false">
      <c r="A22" s="47" t="n">
        <v>15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32" t="str">
        <f aca="false">IF(J22="","",J22/100)</f>
        <v/>
      </c>
      <c r="M22" s="32" t="str">
        <f aca="false">IF(H22="","",IFERROR(VLOOKUP(H22*1,COURBE!$B$8:$N$27,IF(F22="ESTER",7,8),0),0))</f>
        <v/>
      </c>
      <c r="N22" s="49" t="str">
        <f aca="false">IF(L22="","",IF(G22="PAY",M22-L22,L22-M22))</f>
        <v/>
      </c>
      <c r="O22" s="50" t="str">
        <f aca="false">IF(H22="","",IF(G22="PAY",-1,1)*I22*1000000*H22/10000)</f>
        <v/>
      </c>
      <c r="P22" s="50" t="str">
        <f aca="false">IF(H22="","",I22*1000000*L22*H22/10000)</f>
        <v/>
      </c>
      <c r="Q22" s="51" t="str">
        <f aca="false">IF(O22="","",O22)</f>
        <v/>
      </c>
      <c r="R22" s="50" t="str">
        <f aca="false">IF(L22="","",IF(G22="PAY",(M22-L22),-( M22-L22))*I22*1000000/365)</f>
        <v/>
      </c>
      <c r="S22" s="49" t="str">
        <f aca="false">IF(H22="","",IFERROR((VLOOKUP(H22*1,COURBE!$B$8:$N$27,IF(F22="ESTER",7,8),0)-VLOOKUP(MAX(H22-1,1),COURBE!$B$8:$N$27,IF(F22="ESTER",7,8),0))*10000,0))</f>
        <v/>
      </c>
      <c r="T22" s="50" t="str">
        <f aca="false">IF(R22="","",R22*90+IF(S22="",0,S22)*I22*1000000/10000*H22/365)</f>
        <v/>
      </c>
      <c r="U22" s="52" t="str">
        <f aca="false">IF(L22="","",O22*(M22-L22)*10000)</f>
        <v/>
      </c>
      <c r="V22" s="50" t="str">
        <f aca="false">IF(O22="","",0)</f>
        <v/>
      </c>
      <c r="W22" s="53"/>
    </row>
    <row r="23" customFormat="false" ht="18.75" hidden="false" customHeight="true" outlineLevel="0" collapsed="false">
      <c r="A23" s="47" t="n">
        <v>16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32" t="str">
        <f aca="false">IF(J23="","",J23/100)</f>
        <v/>
      </c>
      <c r="M23" s="32" t="str">
        <f aca="false">IF(H23="","",IFERROR(VLOOKUP(H23*1,COURBE!$B$8:$N$27,IF(F23="ESTER",7,8),0),0))</f>
        <v/>
      </c>
      <c r="N23" s="49" t="str">
        <f aca="false">IF(L23="","",IF(G23="PAY",M23-L23,L23-M23))</f>
        <v/>
      </c>
      <c r="O23" s="50" t="str">
        <f aca="false">IF(H23="","",IF(G23="PAY",-1,1)*I23*1000000*H23/10000)</f>
        <v/>
      </c>
      <c r="P23" s="50" t="str">
        <f aca="false">IF(H23="","",I23*1000000*L23*H23/10000)</f>
        <v/>
      </c>
      <c r="Q23" s="51" t="str">
        <f aca="false">IF(O23="","",O23)</f>
        <v/>
      </c>
      <c r="R23" s="50" t="str">
        <f aca="false">IF(L23="","",IF(G23="PAY",(M23-L23),-( M23-L23))*I23*1000000/365)</f>
        <v/>
      </c>
      <c r="S23" s="49" t="str">
        <f aca="false">IF(H23="","",IFERROR((VLOOKUP(H23*1,COURBE!$B$8:$N$27,IF(F23="ESTER",7,8),0)-VLOOKUP(MAX(H23-1,1),COURBE!$B$8:$N$27,IF(F23="ESTER",7,8),0))*10000,0))</f>
        <v/>
      </c>
      <c r="T23" s="50" t="str">
        <f aca="false">IF(R23="","",R23*90+IF(S23="",0,S23)*I23*1000000/10000*H23/365)</f>
        <v/>
      </c>
      <c r="U23" s="52" t="str">
        <f aca="false">IF(L23="","",O23*(M23-L23)*10000)</f>
        <v/>
      </c>
      <c r="V23" s="50" t="str">
        <f aca="false">IF(O23="","",0)</f>
        <v/>
      </c>
      <c r="W23" s="54"/>
    </row>
    <row r="24" customFormat="false" ht="18.75" hidden="false" customHeight="true" outlineLevel="0" collapsed="false">
      <c r="A24" s="47" t="n">
        <v>17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32" t="str">
        <f aca="false">IF(J24="","",J24/100)</f>
        <v/>
      </c>
      <c r="M24" s="32" t="str">
        <f aca="false">IF(H24="","",IFERROR(VLOOKUP(H24*1,COURBE!$B$8:$N$27,IF(F24="ESTER",7,8),0),0))</f>
        <v/>
      </c>
      <c r="N24" s="49" t="str">
        <f aca="false">IF(L24="","",IF(G24="PAY",M24-L24,L24-M24))</f>
        <v/>
      </c>
      <c r="O24" s="50" t="str">
        <f aca="false">IF(H24="","",IF(G24="PAY",-1,1)*I24*1000000*H24/10000)</f>
        <v/>
      </c>
      <c r="P24" s="50" t="str">
        <f aca="false">IF(H24="","",I24*1000000*L24*H24/10000)</f>
        <v/>
      </c>
      <c r="Q24" s="51" t="str">
        <f aca="false">IF(O24="","",O24)</f>
        <v/>
      </c>
      <c r="R24" s="50" t="str">
        <f aca="false">IF(L24="","",IF(G24="PAY",(M24-L24),-( M24-L24))*I24*1000000/365)</f>
        <v/>
      </c>
      <c r="S24" s="49" t="str">
        <f aca="false">IF(H24="","",IFERROR((VLOOKUP(H24*1,COURBE!$B$8:$N$27,IF(F24="ESTER",7,8),0)-VLOOKUP(MAX(H24-1,1),COURBE!$B$8:$N$27,IF(F24="ESTER",7,8),0))*10000,0))</f>
        <v/>
      </c>
      <c r="T24" s="50" t="str">
        <f aca="false">IF(R24="","",R24*90+IF(S24="",0,S24)*I24*1000000/10000*H24/365)</f>
        <v/>
      </c>
      <c r="U24" s="52" t="str">
        <f aca="false">IF(L24="","",O24*(M24-L24)*10000)</f>
        <v/>
      </c>
      <c r="V24" s="50" t="str">
        <f aca="false">IF(O24="","",0)</f>
        <v/>
      </c>
      <c r="W24" s="53"/>
    </row>
    <row r="25" customFormat="false" ht="18.75" hidden="false" customHeight="true" outlineLevel="0" collapsed="false">
      <c r="A25" s="47" t="n">
        <v>18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32" t="str">
        <f aca="false">IF(J25="","",J25/100)</f>
        <v/>
      </c>
      <c r="M25" s="32" t="str">
        <f aca="false">IF(H25="","",IFERROR(VLOOKUP(H25*1,COURBE!$B$8:$N$27,IF(F25="ESTER",7,8),0),0))</f>
        <v/>
      </c>
      <c r="N25" s="49" t="str">
        <f aca="false">IF(L25="","",IF(G25="PAY",M25-L25,L25-M25))</f>
        <v/>
      </c>
      <c r="O25" s="50" t="str">
        <f aca="false">IF(H25="","",IF(G25="PAY",-1,1)*I25*1000000*H25/10000)</f>
        <v/>
      </c>
      <c r="P25" s="50" t="str">
        <f aca="false">IF(H25="","",I25*1000000*L25*H25/10000)</f>
        <v/>
      </c>
      <c r="Q25" s="51" t="str">
        <f aca="false">IF(O25="","",O25)</f>
        <v/>
      </c>
      <c r="R25" s="50" t="str">
        <f aca="false">IF(L25="","",IF(G25="PAY",(M25-L25),-( M25-L25))*I25*1000000/365)</f>
        <v/>
      </c>
      <c r="S25" s="49" t="str">
        <f aca="false">IF(H25="","",IFERROR((VLOOKUP(H25*1,COURBE!$B$8:$N$27,IF(F25="ESTER",7,8),0)-VLOOKUP(MAX(H25-1,1),COURBE!$B$8:$N$27,IF(F25="ESTER",7,8),0))*10000,0))</f>
        <v/>
      </c>
      <c r="T25" s="50" t="str">
        <f aca="false">IF(R25="","",R25*90+IF(S25="",0,S25)*I25*1000000/10000*H25/365)</f>
        <v/>
      </c>
      <c r="U25" s="52" t="str">
        <f aca="false">IF(L25="","",O25*(M25-L25)*10000)</f>
        <v/>
      </c>
      <c r="V25" s="50" t="str">
        <f aca="false">IF(O25="","",0)</f>
        <v/>
      </c>
      <c r="W25" s="54"/>
    </row>
    <row r="26" customFormat="false" ht="18.75" hidden="false" customHeight="true" outlineLevel="0" collapsed="false">
      <c r="A26" s="47" t="n">
        <v>19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32" t="str">
        <f aca="false">IF(J26="","",J26/100)</f>
        <v/>
      </c>
      <c r="M26" s="32" t="str">
        <f aca="false">IF(H26="","",IFERROR(VLOOKUP(H26*1,COURBE!$B$8:$N$27,IF(F26="ESTER",7,8),0),0))</f>
        <v/>
      </c>
      <c r="N26" s="49" t="str">
        <f aca="false">IF(L26="","",IF(G26="PAY",M26-L26,L26-M26))</f>
        <v/>
      </c>
      <c r="O26" s="50" t="str">
        <f aca="false">IF(H26="","",IF(G26="PAY",-1,1)*I26*1000000*H26/10000)</f>
        <v/>
      </c>
      <c r="P26" s="50" t="str">
        <f aca="false">IF(H26="","",I26*1000000*L26*H26/10000)</f>
        <v/>
      </c>
      <c r="Q26" s="51" t="str">
        <f aca="false">IF(O26="","",O26)</f>
        <v/>
      </c>
      <c r="R26" s="50" t="str">
        <f aca="false">IF(L26="","",IF(G26="PAY",(M26-L26),-( M26-L26))*I26*1000000/365)</f>
        <v/>
      </c>
      <c r="S26" s="49" t="str">
        <f aca="false">IF(H26="","",IFERROR((VLOOKUP(H26*1,COURBE!$B$8:$N$27,IF(F26="ESTER",7,8),0)-VLOOKUP(MAX(H26-1,1),COURBE!$B$8:$N$27,IF(F26="ESTER",7,8),0))*10000,0))</f>
        <v/>
      </c>
      <c r="T26" s="50" t="str">
        <f aca="false">IF(R26="","",R26*90+IF(S26="",0,S26)*I26*1000000/10000*H26/365)</f>
        <v/>
      </c>
      <c r="U26" s="52" t="str">
        <f aca="false">IF(L26="","",O26*(M26-L26)*10000)</f>
        <v/>
      </c>
      <c r="V26" s="50" t="str">
        <f aca="false">IF(O26="","",0)</f>
        <v/>
      </c>
      <c r="W26" s="53"/>
    </row>
    <row r="27" customFormat="false" ht="18.75" hidden="false" customHeight="true" outlineLevel="0" collapsed="false">
      <c r="A27" s="47" t="n">
        <v>20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32" t="str">
        <f aca="false">IF(J27="","",J27/100)</f>
        <v/>
      </c>
      <c r="M27" s="32" t="str">
        <f aca="false">IF(H27="","",IFERROR(VLOOKUP(H27*1,COURBE!$B$8:$N$27,IF(F27="ESTER",7,8),0),0))</f>
        <v/>
      </c>
      <c r="N27" s="49" t="str">
        <f aca="false">IF(L27="","",IF(G27="PAY",M27-L27,L27-M27))</f>
        <v/>
      </c>
      <c r="O27" s="50" t="str">
        <f aca="false">IF(H27="","",IF(G27="PAY",-1,1)*I27*1000000*H27/10000)</f>
        <v/>
      </c>
      <c r="P27" s="50" t="str">
        <f aca="false">IF(H27="","",I27*1000000*L27*H27/10000)</f>
        <v/>
      </c>
      <c r="Q27" s="51" t="str">
        <f aca="false">IF(O27="","",O27)</f>
        <v/>
      </c>
      <c r="R27" s="50" t="str">
        <f aca="false">IF(L27="","",IF(G27="PAY",(M27-L27),-( M27-L27))*I27*1000000/365)</f>
        <v/>
      </c>
      <c r="S27" s="49" t="str">
        <f aca="false">IF(H27="","",IFERROR((VLOOKUP(H27*1,COURBE!$B$8:$N$27,IF(F27="ESTER",7,8),0)-VLOOKUP(MAX(H27-1,1),COURBE!$B$8:$N$27,IF(F27="ESTER",7,8),0))*10000,0))</f>
        <v/>
      </c>
      <c r="T27" s="50" t="str">
        <f aca="false">IF(R27="","",R27*90+IF(S27="",0,S27)*I27*1000000/10000*H27/365)</f>
        <v/>
      </c>
      <c r="U27" s="52" t="str">
        <f aca="false">IF(L27="","",O27*(M27-L27)*10000)</f>
        <v/>
      </c>
      <c r="V27" s="50" t="str">
        <f aca="false">IF(O27="","",0)</f>
        <v/>
      </c>
      <c r="W27" s="54"/>
    </row>
    <row r="28" customFormat="false" ht="18.75" hidden="false" customHeight="true" outlineLevel="0" collapsed="false">
      <c r="A28" s="47" t="n">
        <v>21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32" t="str">
        <f aca="false">IF(J28="","",J28/100)</f>
        <v/>
      </c>
      <c r="M28" s="32" t="str">
        <f aca="false">IF(H28="","",IFERROR(VLOOKUP(H28*1,COURBE!$B$8:$N$27,IF(F28="ESTER",7,8),0),0))</f>
        <v/>
      </c>
      <c r="N28" s="49" t="str">
        <f aca="false">IF(L28="","",IF(G28="PAY",M28-L28,L28-M28))</f>
        <v/>
      </c>
      <c r="O28" s="50" t="str">
        <f aca="false">IF(H28="","",IF(G28="PAY",-1,1)*I28*1000000*H28/10000)</f>
        <v/>
      </c>
      <c r="P28" s="50" t="str">
        <f aca="false">IF(H28="","",I28*1000000*L28*H28/10000)</f>
        <v/>
      </c>
      <c r="Q28" s="51" t="str">
        <f aca="false">IF(O28="","",O28)</f>
        <v/>
      </c>
      <c r="R28" s="50" t="str">
        <f aca="false">IF(L28="","",IF(G28="PAY",(M28-L28),-( M28-L28))*I28*1000000/365)</f>
        <v/>
      </c>
      <c r="S28" s="49" t="str">
        <f aca="false">IF(H28="","",IFERROR((VLOOKUP(H28*1,COURBE!$B$8:$N$27,IF(F28="ESTER",7,8),0)-VLOOKUP(MAX(H28-1,1),COURBE!$B$8:$N$27,IF(F28="ESTER",7,8),0))*10000,0))</f>
        <v/>
      </c>
      <c r="T28" s="50" t="str">
        <f aca="false">IF(R28="","",R28*90+IF(S28="",0,S28)*I28*1000000/10000*H28/365)</f>
        <v/>
      </c>
      <c r="U28" s="52" t="str">
        <f aca="false">IF(L28="","",O28*(M28-L28)*10000)</f>
        <v/>
      </c>
      <c r="V28" s="50" t="str">
        <f aca="false">IF(O28="","",0)</f>
        <v/>
      </c>
      <c r="W28" s="53"/>
    </row>
    <row r="29" customFormat="false" ht="18.75" hidden="false" customHeight="true" outlineLevel="0" collapsed="false">
      <c r="A29" s="47" t="n">
        <v>22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32" t="str">
        <f aca="false">IF(J29="","",J29/100)</f>
        <v/>
      </c>
      <c r="M29" s="32" t="str">
        <f aca="false">IF(H29="","",IFERROR(VLOOKUP(H29*1,COURBE!$B$8:$N$27,IF(F29="ESTER",7,8),0),0))</f>
        <v/>
      </c>
      <c r="N29" s="49" t="str">
        <f aca="false">IF(L29="","",IF(G29="PAY",M29-L29,L29-M29))</f>
        <v/>
      </c>
      <c r="O29" s="50" t="str">
        <f aca="false">IF(H29="","",IF(G29="PAY",-1,1)*I29*1000000*H29/10000)</f>
        <v/>
      </c>
      <c r="P29" s="50" t="str">
        <f aca="false">IF(H29="","",I29*1000000*L29*H29/10000)</f>
        <v/>
      </c>
      <c r="Q29" s="51" t="str">
        <f aca="false">IF(O29="","",O29)</f>
        <v/>
      </c>
      <c r="R29" s="50" t="str">
        <f aca="false">IF(L29="","",IF(G29="PAY",(M29-L29),-( M29-L29))*I29*1000000/365)</f>
        <v/>
      </c>
      <c r="S29" s="49" t="str">
        <f aca="false">IF(H29="","",IFERROR((VLOOKUP(H29*1,COURBE!$B$8:$N$27,IF(F29="ESTER",7,8),0)-VLOOKUP(MAX(H29-1,1),COURBE!$B$8:$N$27,IF(F29="ESTER",7,8),0))*10000,0))</f>
        <v/>
      </c>
      <c r="T29" s="50" t="str">
        <f aca="false">IF(R29="","",R29*90+IF(S29="",0,S29)*I29*1000000/10000*H29/365)</f>
        <v/>
      </c>
      <c r="U29" s="52" t="str">
        <f aca="false">IF(L29="","",O29*(M29-L29)*10000)</f>
        <v/>
      </c>
      <c r="V29" s="50" t="str">
        <f aca="false">IF(O29="","",0)</f>
        <v/>
      </c>
      <c r="W29" s="54"/>
    </row>
    <row r="30" customFormat="false" ht="18.75" hidden="false" customHeight="true" outlineLevel="0" collapsed="false">
      <c r="A30" s="47" t="n">
        <v>23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32" t="str">
        <f aca="false">IF(J30="","",J30/100)</f>
        <v/>
      </c>
      <c r="M30" s="32" t="str">
        <f aca="false">IF(H30="","",IFERROR(VLOOKUP(H30*1,COURBE!$B$8:$N$27,IF(F30="ESTER",7,8),0),0))</f>
        <v/>
      </c>
      <c r="N30" s="49" t="str">
        <f aca="false">IF(L30="","",IF(G30="PAY",M30-L30,L30-M30))</f>
        <v/>
      </c>
      <c r="O30" s="50" t="str">
        <f aca="false">IF(H30="","",IF(G30="PAY",-1,1)*I30*1000000*H30/10000)</f>
        <v/>
      </c>
      <c r="P30" s="50" t="str">
        <f aca="false">IF(H30="","",I30*1000000*L30*H30/10000)</f>
        <v/>
      </c>
      <c r="Q30" s="51" t="str">
        <f aca="false">IF(O30="","",O30)</f>
        <v/>
      </c>
      <c r="R30" s="50" t="str">
        <f aca="false">IF(L30="","",IF(G30="PAY",(M30-L30),-( M30-L30))*I30*1000000/365)</f>
        <v/>
      </c>
      <c r="S30" s="49" t="str">
        <f aca="false">IF(H30="","",IFERROR((VLOOKUP(H30*1,COURBE!$B$8:$N$27,IF(F30="ESTER",7,8),0)-VLOOKUP(MAX(H30-1,1),COURBE!$B$8:$N$27,IF(F30="ESTER",7,8),0))*10000,0))</f>
        <v/>
      </c>
      <c r="T30" s="50" t="str">
        <f aca="false">IF(R30="","",R30*90+IF(S30="",0,S30)*I30*1000000/10000*H30/365)</f>
        <v/>
      </c>
      <c r="U30" s="52" t="str">
        <f aca="false">IF(L30="","",O30*(M30-L30)*10000)</f>
        <v/>
      </c>
      <c r="V30" s="50" t="str">
        <f aca="false">IF(O30="","",0)</f>
        <v/>
      </c>
      <c r="W30" s="53"/>
    </row>
    <row r="31" customFormat="false" ht="18.75" hidden="false" customHeight="true" outlineLevel="0" collapsed="false">
      <c r="A31" s="47" t="n">
        <v>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32" t="str">
        <f aca="false">IF(J31="","",J31/100)</f>
        <v/>
      </c>
      <c r="M31" s="32" t="str">
        <f aca="false">IF(H31="","",IFERROR(VLOOKUP(H31*1,COURBE!$B$8:$N$27,IF(F31="ESTER",7,8),0),0))</f>
        <v/>
      </c>
      <c r="N31" s="49" t="str">
        <f aca="false">IF(L31="","",IF(G31="PAY",M31-L31,L31-M31))</f>
        <v/>
      </c>
      <c r="O31" s="50" t="str">
        <f aca="false">IF(H31="","",IF(G31="PAY",-1,1)*I31*1000000*H31/10000)</f>
        <v/>
      </c>
      <c r="P31" s="50" t="str">
        <f aca="false">IF(H31="","",I31*1000000*L31*H31/10000)</f>
        <v/>
      </c>
      <c r="Q31" s="51" t="str">
        <f aca="false">IF(O31="","",O31)</f>
        <v/>
      </c>
      <c r="R31" s="50" t="str">
        <f aca="false">IF(L31="","",IF(G31="PAY",(M31-L31),-( M31-L31))*I31*1000000/365)</f>
        <v/>
      </c>
      <c r="S31" s="49" t="str">
        <f aca="false">IF(H31="","",IFERROR((VLOOKUP(H31*1,COURBE!$B$8:$N$27,IF(F31="ESTER",7,8),0)-VLOOKUP(MAX(H31-1,1),COURBE!$B$8:$N$27,IF(F31="ESTER",7,8),0))*10000,0))</f>
        <v/>
      </c>
      <c r="T31" s="50" t="str">
        <f aca="false">IF(R31="","",R31*90+IF(S31="",0,S31)*I31*1000000/10000*H31/365)</f>
        <v/>
      </c>
      <c r="U31" s="52" t="str">
        <f aca="false">IF(L31="","",O31*(M31-L31)*10000)</f>
        <v/>
      </c>
      <c r="V31" s="50" t="str">
        <f aca="false">IF(O31="","",0)</f>
        <v/>
      </c>
      <c r="W31" s="54"/>
    </row>
    <row r="32" customFormat="false" ht="18.75" hidden="false" customHeight="true" outlineLevel="0" collapsed="false">
      <c r="A32" s="47" t="n">
        <v>25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32" t="str">
        <f aca="false">IF(J32="","",J32/100)</f>
        <v/>
      </c>
      <c r="M32" s="32" t="str">
        <f aca="false">IF(H32="","",IFERROR(VLOOKUP(H32*1,COURBE!$B$8:$N$27,IF(F32="ESTER",7,8),0),0))</f>
        <v/>
      </c>
      <c r="N32" s="49" t="str">
        <f aca="false">IF(L32="","",IF(G32="PAY",M32-L32,L32-M32))</f>
        <v/>
      </c>
      <c r="O32" s="50" t="str">
        <f aca="false">IF(H32="","",IF(G32="PAY",-1,1)*I32*1000000*H32/10000)</f>
        <v/>
      </c>
      <c r="P32" s="50" t="str">
        <f aca="false">IF(H32="","",I32*1000000*L32*H32/10000)</f>
        <v/>
      </c>
      <c r="Q32" s="51" t="str">
        <f aca="false">IF(O32="","",O32)</f>
        <v/>
      </c>
      <c r="R32" s="50" t="str">
        <f aca="false">IF(L32="","",IF(G32="PAY",(M32-L32),-( M32-L32))*I32*1000000/365)</f>
        <v/>
      </c>
      <c r="S32" s="49" t="str">
        <f aca="false">IF(H32="","",IFERROR((VLOOKUP(H32*1,COURBE!$B$8:$N$27,IF(F32="ESTER",7,8),0)-VLOOKUP(MAX(H32-1,1),COURBE!$B$8:$N$27,IF(F32="ESTER",7,8),0))*10000,0))</f>
        <v/>
      </c>
      <c r="T32" s="50" t="str">
        <f aca="false">IF(R32="","",R32*90+IF(S32="",0,S32)*I32*1000000/10000*H32/365)</f>
        <v/>
      </c>
      <c r="U32" s="52" t="str">
        <f aca="false">IF(L32="","",O32*(M32-L32)*10000)</f>
        <v/>
      </c>
      <c r="V32" s="50" t="str">
        <f aca="false">IF(O32="","",0)</f>
        <v/>
      </c>
      <c r="W32" s="53"/>
    </row>
    <row r="33" customFormat="false" ht="18.75" hidden="false" customHeight="true" outlineLevel="0" collapsed="false">
      <c r="A33" s="47" t="n">
        <v>26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32" t="str">
        <f aca="false">IF(J33="","",J33/100)</f>
        <v/>
      </c>
      <c r="M33" s="32" t="str">
        <f aca="false">IF(H33="","",IFERROR(VLOOKUP(H33*1,COURBE!$B$8:$N$27,IF(F33="ESTER",7,8),0),0))</f>
        <v/>
      </c>
      <c r="N33" s="49" t="str">
        <f aca="false">IF(L33="","",IF(G33="PAY",M33-L33,L33-M33))</f>
        <v/>
      </c>
      <c r="O33" s="50" t="str">
        <f aca="false">IF(H33="","",IF(G33="PAY",-1,1)*I33*1000000*H33/10000)</f>
        <v/>
      </c>
      <c r="P33" s="50" t="str">
        <f aca="false">IF(H33="","",I33*1000000*L33*H33/10000)</f>
        <v/>
      </c>
      <c r="Q33" s="51" t="str">
        <f aca="false">IF(O33="","",O33)</f>
        <v/>
      </c>
      <c r="R33" s="50" t="str">
        <f aca="false">IF(L33="","",IF(G33="PAY",(M33-L33),-( M33-L33))*I33*1000000/365)</f>
        <v/>
      </c>
      <c r="S33" s="49" t="str">
        <f aca="false">IF(H33="","",IFERROR((VLOOKUP(H33*1,COURBE!$B$8:$N$27,IF(F33="ESTER",7,8),0)-VLOOKUP(MAX(H33-1,1),COURBE!$B$8:$N$27,IF(F33="ESTER",7,8),0))*10000,0))</f>
        <v/>
      </c>
      <c r="T33" s="50" t="str">
        <f aca="false">IF(R33="","",R33*90+IF(S33="",0,S33)*I33*1000000/10000*H33/365)</f>
        <v/>
      </c>
      <c r="U33" s="52" t="str">
        <f aca="false">IF(L33="","",O33*(M33-L33)*10000)</f>
        <v/>
      </c>
      <c r="V33" s="50" t="str">
        <f aca="false">IF(O33="","",0)</f>
        <v/>
      </c>
      <c r="W33" s="54"/>
    </row>
    <row r="34" customFormat="false" ht="18.75" hidden="false" customHeight="true" outlineLevel="0" collapsed="false">
      <c r="A34" s="47" t="n">
        <v>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32" t="str">
        <f aca="false">IF(J34="","",J34/100)</f>
        <v/>
      </c>
      <c r="M34" s="32" t="str">
        <f aca="false">IF(H34="","",IFERROR(VLOOKUP(H34*1,COURBE!$B$8:$N$27,IF(F34="ESTER",7,8),0),0))</f>
        <v/>
      </c>
      <c r="N34" s="49" t="str">
        <f aca="false">IF(L34="","",IF(G34="PAY",M34-L34,L34-M34))</f>
        <v/>
      </c>
      <c r="O34" s="50" t="str">
        <f aca="false">IF(H34="","",IF(G34="PAY",-1,1)*I34*1000000*H34/10000)</f>
        <v/>
      </c>
      <c r="P34" s="50" t="str">
        <f aca="false">IF(H34="","",I34*1000000*L34*H34/10000)</f>
        <v/>
      </c>
      <c r="Q34" s="51" t="str">
        <f aca="false">IF(O34="","",O34)</f>
        <v/>
      </c>
      <c r="R34" s="50" t="str">
        <f aca="false">IF(L34="","",IF(G34="PAY",(M34-L34),-( M34-L34))*I34*1000000/365)</f>
        <v/>
      </c>
      <c r="S34" s="49" t="str">
        <f aca="false">IF(H34="","",IFERROR((VLOOKUP(H34*1,COURBE!$B$8:$N$27,IF(F34="ESTER",7,8),0)-VLOOKUP(MAX(H34-1,1),COURBE!$B$8:$N$27,IF(F34="ESTER",7,8),0))*10000,0))</f>
        <v/>
      </c>
      <c r="T34" s="50" t="str">
        <f aca="false">IF(R34="","",R34*90+IF(S34="",0,S34)*I34*1000000/10000*H34/365)</f>
        <v/>
      </c>
      <c r="U34" s="52" t="str">
        <f aca="false">IF(L34="","",O34*(M34-L34)*10000)</f>
        <v/>
      </c>
      <c r="V34" s="50" t="str">
        <f aca="false">IF(O34="","",0)</f>
        <v/>
      </c>
      <c r="W34" s="53"/>
    </row>
    <row r="35" customFormat="false" ht="18.75" hidden="false" customHeight="true" outlineLevel="0" collapsed="false">
      <c r="A35" s="47" t="n">
        <v>28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32" t="str">
        <f aca="false">IF(J35="","",J35/100)</f>
        <v/>
      </c>
      <c r="M35" s="32" t="str">
        <f aca="false">IF(H35="","",IFERROR(VLOOKUP(H35*1,COURBE!$B$8:$N$27,IF(F35="ESTER",7,8),0),0))</f>
        <v/>
      </c>
      <c r="N35" s="49" t="str">
        <f aca="false">IF(L35="","",IF(G35="PAY",M35-L35,L35-M35))</f>
        <v/>
      </c>
      <c r="O35" s="50" t="str">
        <f aca="false">IF(H35="","",IF(G35="PAY",-1,1)*I35*1000000*H35/10000)</f>
        <v/>
      </c>
      <c r="P35" s="50" t="str">
        <f aca="false">IF(H35="","",I35*1000000*L35*H35/10000)</f>
        <v/>
      </c>
      <c r="Q35" s="51" t="str">
        <f aca="false">IF(O35="","",O35)</f>
        <v/>
      </c>
      <c r="R35" s="50" t="str">
        <f aca="false">IF(L35="","",IF(G35="PAY",(M35-L35),-( M35-L35))*I35*1000000/365)</f>
        <v/>
      </c>
      <c r="S35" s="49" t="str">
        <f aca="false">IF(H35="","",IFERROR((VLOOKUP(H35*1,COURBE!$B$8:$N$27,IF(F35="ESTER",7,8),0)-VLOOKUP(MAX(H35-1,1),COURBE!$B$8:$N$27,IF(F35="ESTER",7,8),0))*10000,0))</f>
        <v/>
      </c>
      <c r="T35" s="50" t="str">
        <f aca="false">IF(R35="","",R35*90+IF(S35="",0,S35)*I35*1000000/10000*H35/365)</f>
        <v/>
      </c>
      <c r="U35" s="52" t="str">
        <f aca="false">IF(L35="","",O35*(M35-L35)*10000)</f>
        <v/>
      </c>
      <c r="V35" s="50" t="str">
        <f aca="false">IF(O35="","",0)</f>
        <v/>
      </c>
      <c r="W35" s="54"/>
    </row>
    <row r="36" customFormat="false" ht="18.75" hidden="false" customHeight="true" outlineLevel="0" collapsed="false">
      <c r="A36" s="47" t="n">
        <v>29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32" t="str">
        <f aca="false">IF(J36="","",J36/100)</f>
        <v/>
      </c>
      <c r="M36" s="32" t="str">
        <f aca="false">IF(H36="","",IFERROR(VLOOKUP(H36*1,COURBE!$B$8:$N$27,IF(F36="ESTER",7,8),0),0))</f>
        <v/>
      </c>
      <c r="N36" s="49" t="str">
        <f aca="false">IF(L36="","",IF(G36="PAY",M36-L36,L36-M36))</f>
        <v/>
      </c>
      <c r="O36" s="50" t="str">
        <f aca="false">IF(H36="","",IF(G36="PAY",-1,1)*I36*1000000*H36/10000)</f>
        <v/>
      </c>
      <c r="P36" s="50" t="str">
        <f aca="false">IF(H36="","",I36*1000000*L36*H36/10000)</f>
        <v/>
      </c>
      <c r="Q36" s="51" t="str">
        <f aca="false">IF(O36="","",O36)</f>
        <v/>
      </c>
      <c r="R36" s="50" t="str">
        <f aca="false">IF(L36="","",IF(G36="PAY",(M36-L36),-( M36-L36))*I36*1000000/365)</f>
        <v/>
      </c>
      <c r="S36" s="49" t="str">
        <f aca="false">IF(H36="","",IFERROR((VLOOKUP(H36*1,COURBE!$B$8:$N$27,IF(F36="ESTER",7,8),0)-VLOOKUP(MAX(H36-1,1),COURBE!$B$8:$N$27,IF(F36="ESTER",7,8),0))*10000,0))</f>
        <v/>
      </c>
      <c r="T36" s="50" t="str">
        <f aca="false">IF(R36="","",R36*90+IF(S36="",0,S36)*I36*1000000/10000*H36/365)</f>
        <v/>
      </c>
      <c r="U36" s="52" t="str">
        <f aca="false">IF(L36="","",O36*(M36-L36)*10000)</f>
        <v/>
      </c>
      <c r="V36" s="50" t="str">
        <f aca="false">IF(O36="","",0)</f>
        <v/>
      </c>
      <c r="W36" s="53"/>
    </row>
    <row r="37" customFormat="false" ht="18.75" hidden="false" customHeight="true" outlineLevel="0" collapsed="false">
      <c r="A37" s="47" t="n">
        <v>30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32" t="str">
        <f aca="false">IF(J37="","",J37/100)</f>
        <v/>
      </c>
      <c r="M37" s="32" t="str">
        <f aca="false">IF(H37="","",IFERROR(VLOOKUP(H37*1,COURBE!$B$8:$N$27,IF(F37="ESTER",7,8),0),0))</f>
        <v/>
      </c>
      <c r="N37" s="49" t="str">
        <f aca="false">IF(L37="","",IF(G37="PAY",M37-L37,L37-M37))</f>
        <v/>
      </c>
      <c r="O37" s="50" t="str">
        <f aca="false">IF(H37="","",IF(G37="PAY",-1,1)*I37*1000000*H37/10000)</f>
        <v/>
      </c>
      <c r="P37" s="50" t="str">
        <f aca="false">IF(H37="","",I37*1000000*L37*H37/10000)</f>
        <v/>
      </c>
      <c r="Q37" s="51" t="str">
        <f aca="false">IF(O37="","",O37)</f>
        <v/>
      </c>
      <c r="R37" s="50" t="str">
        <f aca="false">IF(L37="","",IF(G37="PAY",(M37-L37),-( M37-L37))*I37*1000000/365)</f>
        <v/>
      </c>
      <c r="S37" s="49" t="str">
        <f aca="false">IF(H37="","",IFERROR((VLOOKUP(H37*1,COURBE!$B$8:$N$27,IF(F37="ESTER",7,8),0)-VLOOKUP(MAX(H37-1,1),COURBE!$B$8:$N$27,IF(F37="ESTER",7,8),0))*10000,0))</f>
        <v/>
      </c>
      <c r="T37" s="50" t="str">
        <f aca="false">IF(R37="","",R37*90+IF(S37="",0,S37)*I37*1000000/10000*H37/365)</f>
        <v/>
      </c>
      <c r="U37" s="52" t="str">
        <f aca="false">IF(L37="","",O37*(M37-L37)*10000)</f>
        <v/>
      </c>
      <c r="V37" s="50" t="str">
        <f aca="false">IF(O37="","",0)</f>
        <v/>
      </c>
      <c r="W37" s="54"/>
    </row>
    <row r="38" customFormat="false" ht="18.75" hidden="false" customHeight="true" outlineLevel="0" collapsed="false">
      <c r="A38" s="47" t="n">
        <v>31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32" t="str">
        <f aca="false">IF(J38="","",J38/100)</f>
        <v/>
      </c>
      <c r="M38" s="32" t="str">
        <f aca="false">IF(H38="","",IFERROR(VLOOKUP(H38*1,COURBE!$B$8:$N$27,IF(F38="ESTER",7,8),0),0))</f>
        <v/>
      </c>
      <c r="N38" s="49" t="str">
        <f aca="false">IF(L38="","",IF(G38="PAY",M38-L38,L38-M38))</f>
        <v/>
      </c>
      <c r="O38" s="50" t="str">
        <f aca="false">IF(H38="","",IF(G38="PAY",-1,1)*I38*1000000*H38/10000)</f>
        <v/>
      </c>
      <c r="P38" s="50" t="str">
        <f aca="false">IF(H38="","",I38*1000000*L38*H38/10000)</f>
        <v/>
      </c>
      <c r="Q38" s="51" t="str">
        <f aca="false">IF(O38="","",O38)</f>
        <v/>
      </c>
      <c r="R38" s="50" t="str">
        <f aca="false">IF(L38="","",IF(G38="PAY",(M38-L38),-( M38-L38))*I38*1000000/365)</f>
        <v/>
      </c>
      <c r="S38" s="49" t="str">
        <f aca="false">IF(H38="","",IFERROR((VLOOKUP(H38*1,COURBE!$B$8:$N$27,IF(F38="ESTER",7,8),0)-VLOOKUP(MAX(H38-1,1),COURBE!$B$8:$N$27,IF(F38="ESTER",7,8),0))*10000,0))</f>
        <v/>
      </c>
      <c r="T38" s="50" t="str">
        <f aca="false">IF(R38="","",R38*90+IF(S38="",0,S38)*I38*1000000/10000*H38/365)</f>
        <v/>
      </c>
      <c r="U38" s="52" t="str">
        <f aca="false">IF(L38="","",O38*(M38-L38)*10000)</f>
        <v/>
      </c>
      <c r="V38" s="50" t="str">
        <f aca="false">IF(O38="","",0)</f>
        <v/>
      </c>
      <c r="W38" s="53"/>
    </row>
    <row r="39" customFormat="false" ht="18.75" hidden="false" customHeight="true" outlineLevel="0" collapsed="false">
      <c r="A39" s="47" t="n">
        <v>32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32" t="str">
        <f aca="false">IF(J39="","",J39/100)</f>
        <v/>
      </c>
      <c r="M39" s="32" t="str">
        <f aca="false">IF(H39="","",IFERROR(VLOOKUP(H39*1,COURBE!$B$8:$N$27,IF(F39="ESTER",7,8),0),0))</f>
        <v/>
      </c>
      <c r="N39" s="49" t="str">
        <f aca="false">IF(L39="","",IF(G39="PAY",M39-L39,L39-M39))</f>
        <v/>
      </c>
      <c r="O39" s="50" t="str">
        <f aca="false">IF(H39="","",IF(G39="PAY",-1,1)*I39*1000000*H39/10000)</f>
        <v/>
      </c>
      <c r="P39" s="50" t="str">
        <f aca="false">IF(H39="","",I39*1000000*L39*H39/10000)</f>
        <v/>
      </c>
      <c r="Q39" s="51" t="str">
        <f aca="false">IF(O39="","",O39)</f>
        <v/>
      </c>
      <c r="R39" s="50" t="str">
        <f aca="false">IF(L39="","",IF(G39="PAY",(M39-L39),-( M39-L39))*I39*1000000/365)</f>
        <v/>
      </c>
      <c r="S39" s="49" t="str">
        <f aca="false">IF(H39="","",IFERROR((VLOOKUP(H39*1,COURBE!$B$8:$N$27,IF(F39="ESTER",7,8),0)-VLOOKUP(MAX(H39-1,1),COURBE!$B$8:$N$27,IF(F39="ESTER",7,8),0))*10000,0))</f>
        <v/>
      </c>
      <c r="T39" s="50" t="str">
        <f aca="false">IF(R39="","",R39*90+IF(S39="",0,S39)*I39*1000000/10000*H39/365)</f>
        <v/>
      </c>
      <c r="U39" s="52" t="str">
        <f aca="false">IF(L39="","",O39*(M39-L39)*10000)</f>
        <v/>
      </c>
      <c r="V39" s="50" t="str">
        <f aca="false">IF(O39="","",0)</f>
        <v/>
      </c>
      <c r="W39" s="54"/>
    </row>
    <row r="40" customFormat="false" ht="18.75" hidden="false" customHeight="true" outlineLevel="0" collapsed="false">
      <c r="A40" s="47" t="n">
        <v>33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32" t="str">
        <f aca="false">IF(J40="","",J40/100)</f>
        <v/>
      </c>
      <c r="M40" s="32" t="str">
        <f aca="false">IF(H40="","",IFERROR(VLOOKUP(H40*1,COURBE!$B$8:$N$27,IF(F40="ESTER",7,8),0),0))</f>
        <v/>
      </c>
      <c r="N40" s="49" t="str">
        <f aca="false">IF(L40="","",IF(G40="PAY",M40-L40,L40-M40))</f>
        <v/>
      </c>
      <c r="O40" s="50" t="str">
        <f aca="false">IF(H40="","",IF(G40="PAY",-1,1)*I40*1000000*H40/10000)</f>
        <v/>
      </c>
      <c r="P40" s="50" t="str">
        <f aca="false">IF(H40="","",I40*1000000*L40*H40/10000)</f>
        <v/>
      </c>
      <c r="Q40" s="51" t="str">
        <f aca="false">IF(O40="","",O40)</f>
        <v/>
      </c>
      <c r="R40" s="50" t="str">
        <f aca="false">IF(L40="","",IF(G40="PAY",(M40-L40),-( M40-L40))*I40*1000000/365)</f>
        <v/>
      </c>
      <c r="S40" s="49" t="str">
        <f aca="false">IF(H40="","",IFERROR((VLOOKUP(H40*1,COURBE!$B$8:$N$27,IF(F40="ESTER",7,8),0)-VLOOKUP(MAX(H40-1,1),COURBE!$B$8:$N$27,IF(F40="ESTER",7,8),0))*10000,0))</f>
        <v/>
      </c>
      <c r="T40" s="50" t="str">
        <f aca="false">IF(R40="","",R40*90+IF(S40="",0,S40)*I40*1000000/10000*H40/365)</f>
        <v/>
      </c>
      <c r="U40" s="52" t="str">
        <f aca="false">IF(L40="","",O40*(M40-L40)*10000)</f>
        <v/>
      </c>
      <c r="V40" s="50" t="str">
        <f aca="false">IF(O40="","",0)</f>
        <v/>
      </c>
      <c r="W40" s="53"/>
    </row>
    <row r="41" customFormat="false" ht="18.75" hidden="false" customHeight="true" outlineLevel="0" collapsed="false">
      <c r="A41" s="47" t="n">
        <v>34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32" t="str">
        <f aca="false">IF(J41="","",J41/100)</f>
        <v/>
      </c>
      <c r="M41" s="32" t="str">
        <f aca="false">IF(H41="","",IFERROR(VLOOKUP(H41*1,COURBE!$B$8:$N$27,IF(F41="ESTER",7,8),0),0))</f>
        <v/>
      </c>
      <c r="N41" s="49" t="str">
        <f aca="false">IF(L41="","",IF(G41="PAY",M41-L41,L41-M41))</f>
        <v/>
      </c>
      <c r="O41" s="50" t="str">
        <f aca="false">IF(H41="","",IF(G41="PAY",-1,1)*I41*1000000*H41/10000)</f>
        <v/>
      </c>
      <c r="P41" s="50" t="str">
        <f aca="false">IF(H41="","",I41*1000000*L41*H41/10000)</f>
        <v/>
      </c>
      <c r="Q41" s="51" t="str">
        <f aca="false">IF(O41="","",O41)</f>
        <v/>
      </c>
      <c r="R41" s="50" t="str">
        <f aca="false">IF(L41="","",IF(G41="PAY",(M41-L41),-( M41-L41))*I41*1000000/365)</f>
        <v/>
      </c>
      <c r="S41" s="49" t="str">
        <f aca="false">IF(H41="","",IFERROR((VLOOKUP(H41*1,COURBE!$B$8:$N$27,IF(F41="ESTER",7,8),0)-VLOOKUP(MAX(H41-1,1),COURBE!$B$8:$N$27,IF(F41="ESTER",7,8),0))*10000,0))</f>
        <v/>
      </c>
      <c r="T41" s="50" t="str">
        <f aca="false">IF(R41="","",R41*90+IF(S41="",0,S41)*I41*1000000/10000*H41/365)</f>
        <v/>
      </c>
      <c r="U41" s="52" t="str">
        <f aca="false">IF(L41="","",O41*(M41-L41)*10000)</f>
        <v/>
      </c>
      <c r="V41" s="50" t="str">
        <f aca="false">IF(O41="","",0)</f>
        <v/>
      </c>
      <c r="W41" s="54"/>
    </row>
    <row r="42" customFormat="false" ht="18.75" hidden="false" customHeight="true" outlineLevel="0" collapsed="false">
      <c r="A42" s="47" t="n">
        <v>35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32" t="str">
        <f aca="false">IF(J42="","",J42/100)</f>
        <v/>
      </c>
      <c r="M42" s="32" t="str">
        <f aca="false">IF(H42="","",IFERROR(VLOOKUP(H42*1,COURBE!$B$8:$N$27,IF(F42="ESTER",7,8),0),0))</f>
        <v/>
      </c>
      <c r="N42" s="49" t="str">
        <f aca="false">IF(L42="","",IF(G42="PAY",M42-L42,L42-M42))</f>
        <v/>
      </c>
      <c r="O42" s="50" t="str">
        <f aca="false">IF(H42="","",IF(G42="PAY",-1,1)*I42*1000000*H42/10000)</f>
        <v/>
      </c>
      <c r="P42" s="50" t="str">
        <f aca="false">IF(H42="","",I42*1000000*L42*H42/10000)</f>
        <v/>
      </c>
      <c r="Q42" s="51" t="str">
        <f aca="false">IF(O42="","",O42)</f>
        <v/>
      </c>
      <c r="R42" s="50" t="str">
        <f aca="false">IF(L42="","",IF(G42="PAY",(M42-L42),-( M42-L42))*I42*1000000/365)</f>
        <v/>
      </c>
      <c r="S42" s="49" t="str">
        <f aca="false">IF(H42="","",IFERROR((VLOOKUP(H42*1,COURBE!$B$8:$N$27,IF(F42="ESTER",7,8),0)-VLOOKUP(MAX(H42-1,1),COURBE!$B$8:$N$27,IF(F42="ESTER",7,8),0))*10000,0))</f>
        <v/>
      </c>
      <c r="T42" s="50" t="str">
        <f aca="false">IF(R42="","",R42*90+IF(S42="",0,S42)*I42*1000000/10000*H42/365)</f>
        <v/>
      </c>
      <c r="U42" s="52" t="str">
        <f aca="false">IF(L42="","",O42*(M42-L42)*10000)</f>
        <v/>
      </c>
      <c r="V42" s="50" t="str">
        <f aca="false">IF(O42="","",0)</f>
        <v/>
      </c>
      <c r="W42" s="53"/>
    </row>
    <row r="43" customFormat="false" ht="18.75" hidden="false" customHeight="true" outlineLevel="0" collapsed="false">
      <c r="A43" s="47" t="n">
        <v>36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32" t="str">
        <f aca="false">IF(J43="","",J43/100)</f>
        <v/>
      </c>
      <c r="M43" s="32" t="str">
        <f aca="false">IF(H43="","",IFERROR(VLOOKUP(H43*1,COURBE!$B$8:$N$27,IF(F43="ESTER",7,8),0),0))</f>
        <v/>
      </c>
      <c r="N43" s="49" t="str">
        <f aca="false">IF(L43="","",IF(G43="PAY",M43-L43,L43-M43))</f>
        <v/>
      </c>
      <c r="O43" s="50" t="str">
        <f aca="false">IF(H43="","",IF(G43="PAY",-1,1)*I43*1000000*H43/10000)</f>
        <v/>
      </c>
      <c r="P43" s="50" t="str">
        <f aca="false">IF(H43="","",I43*1000000*L43*H43/10000)</f>
        <v/>
      </c>
      <c r="Q43" s="51" t="str">
        <f aca="false">IF(O43="","",O43)</f>
        <v/>
      </c>
      <c r="R43" s="50" t="str">
        <f aca="false">IF(L43="","",IF(G43="PAY",(M43-L43),-( M43-L43))*I43*1000000/365)</f>
        <v/>
      </c>
      <c r="S43" s="49" t="str">
        <f aca="false">IF(H43="","",IFERROR((VLOOKUP(H43*1,COURBE!$B$8:$N$27,IF(F43="ESTER",7,8),0)-VLOOKUP(MAX(H43-1,1),COURBE!$B$8:$N$27,IF(F43="ESTER",7,8),0))*10000,0))</f>
        <v/>
      </c>
      <c r="T43" s="50" t="str">
        <f aca="false">IF(R43="","",R43*90+IF(S43="",0,S43)*I43*1000000/10000*H43/365)</f>
        <v/>
      </c>
      <c r="U43" s="52" t="str">
        <f aca="false">IF(L43="","",O43*(M43-L43)*10000)</f>
        <v/>
      </c>
      <c r="V43" s="50" t="str">
        <f aca="false">IF(O43="","",0)</f>
        <v/>
      </c>
      <c r="W43" s="54"/>
    </row>
    <row r="44" customFormat="false" ht="18.75" hidden="false" customHeight="true" outlineLevel="0" collapsed="false">
      <c r="A44" s="47" t="n">
        <v>37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32" t="str">
        <f aca="false">IF(J44="","",J44/100)</f>
        <v/>
      </c>
      <c r="M44" s="32" t="str">
        <f aca="false">IF(H44="","",IFERROR(VLOOKUP(H44*1,COURBE!$B$8:$N$27,IF(F44="ESTER",7,8),0),0))</f>
        <v/>
      </c>
      <c r="N44" s="49" t="str">
        <f aca="false">IF(L44="","",IF(G44="PAY",M44-L44,L44-M44))</f>
        <v/>
      </c>
      <c r="O44" s="50" t="str">
        <f aca="false">IF(H44="","",IF(G44="PAY",-1,1)*I44*1000000*H44/10000)</f>
        <v/>
      </c>
      <c r="P44" s="50" t="str">
        <f aca="false">IF(H44="","",I44*1000000*L44*H44/10000)</f>
        <v/>
      </c>
      <c r="Q44" s="51" t="str">
        <f aca="false">IF(O44="","",O44)</f>
        <v/>
      </c>
      <c r="R44" s="50" t="str">
        <f aca="false">IF(L44="","",IF(G44="PAY",(M44-L44),-( M44-L44))*I44*1000000/365)</f>
        <v/>
      </c>
      <c r="S44" s="49" t="str">
        <f aca="false">IF(H44="","",IFERROR((VLOOKUP(H44*1,COURBE!$B$8:$N$27,IF(F44="ESTER",7,8),0)-VLOOKUP(MAX(H44-1,1),COURBE!$B$8:$N$27,IF(F44="ESTER",7,8),0))*10000,0))</f>
        <v/>
      </c>
      <c r="T44" s="50" t="str">
        <f aca="false">IF(R44="","",R44*90+IF(S44="",0,S44)*I44*1000000/10000*H44/365)</f>
        <v/>
      </c>
      <c r="U44" s="52" t="str">
        <f aca="false">IF(L44="","",O44*(M44-L44)*10000)</f>
        <v/>
      </c>
      <c r="V44" s="50" t="str">
        <f aca="false">IF(O44="","",0)</f>
        <v/>
      </c>
      <c r="W44" s="53"/>
    </row>
    <row r="45" customFormat="false" ht="18.75" hidden="false" customHeight="true" outlineLevel="0" collapsed="false">
      <c r="A45" s="47" t="n">
        <v>38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32" t="str">
        <f aca="false">IF(J45="","",J45/100)</f>
        <v/>
      </c>
      <c r="M45" s="32" t="str">
        <f aca="false">IF(H45="","",IFERROR(VLOOKUP(H45*1,COURBE!$B$8:$N$27,IF(F45="ESTER",7,8),0),0))</f>
        <v/>
      </c>
      <c r="N45" s="49" t="str">
        <f aca="false">IF(L45="","",IF(G45="PAY",M45-L45,L45-M45))</f>
        <v/>
      </c>
      <c r="O45" s="50" t="str">
        <f aca="false">IF(H45="","",IF(G45="PAY",-1,1)*I45*1000000*H45/10000)</f>
        <v/>
      </c>
      <c r="P45" s="50" t="str">
        <f aca="false">IF(H45="","",I45*1000000*L45*H45/10000)</f>
        <v/>
      </c>
      <c r="Q45" s="51" t="str">
        <f aca="false">IF(O45="","",O45)</f>
        <v/>
      </c>
      <c r="R45" s="50" t="str">
        <f aca="false">IF(L45="","",IF(G45="PAY",(M45-L45),-( M45-L45))*I45*1000000/365)</f>
        <v/>
      </c>
      <c r="S45" s="49" t="str">
        <f aca="false">IF(H45="","",IFERROR((VLOOKUP(H45*1,COURBE!$B$8:$N$27,IF(F45="ESTER",7,8),0)-VLOOKUP(MAX(H45-1,1),COURBE!$B$8:$N$27,IF(F45="ESTER",7,8),0))*10000,0))</f>
        <v/>
      </c>
      <c r="T45" s="50" t="str">
        <f aca="false">IF(R45="","",R45*90+IF(S45="",0,S45)*I45*1000000/10000*H45/365)</f>
        <v/>
      </c>
      <c r="U45" s="52" t="str">
        <f aca="false">IF(L45="","",O45*(M45-L45)*10000)</f>
        <v/>
      </c>
      <c r="V45" s="50" t="str">
        <f aca="false">IF(O45="","",0)</f>
        <v/>
      </c>
      <c r="W45" s="54"/>
    </row>
    <row r="46" customFormat="false" ht="18.75" hidden="false" customHeight="true" outlineLevel="0" collapsed="false">
      <c r="A46" s="47" t="n">
        <v>39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32" t="str">
        <f aca="false">IF(J46="","",J46/100)</f>
        <v/>
      </c>
      <c r="M46" s="32" t="str">
        <f aca="false">IF(H46="","",IFERROR(VLOOKUP(H46*1,COURBE!$B$8:$N$27,IF(F46="ESTER",7,8),0),0))</f>
        <v/>
      </c>
      <c r="N46" s="49" t="str">
        <f aca="false">IF(L46="","",IF(G46="PAY",M46-L46,L46-M46))</f>
        <v/>
      </c>
      <c r="O46" s="50" t="str">
        <f aca="false">IF(H46="","",IF(G46="PAY",-1,1)*I46*1000000*H46/10000)</f>
        <v/>
      </c>
      <c r="P46" s="50" t="str">
        <f aca="false">IF(H46="","",I46*1000000*L46*H46/10000)</f>
        <v/>
      </c>
      <c r="Q46" s="51" t="str">
        <f aca="false">IF(O46="","",O46)</f>
        <v/>
      </c>
      <c r="R46" s="50" t="str">
        <f aca="false">IF(L46="","",IF(G46="PAY",(M46-L46),-( M46-L46))*I46*1000000/365)</f>
        <v/>
      </c>
      <c r="S46" s="49" t="str">
        <f aca="false">IF(H46="","",IFERROR((VLOOKUP(H46*1,COURBE!$B$8:$N$27,IF(F46="ESTER",7,8),0)-VLOOKUP(MAX(H46-1,1),COURBE!$B$8:$N$27,IF(F46="ESTER",7,8),0))*10000,0))</f>
        <v/>
      </c>
      <c r="T46" s="50" t="str">
        <f aca="false">IF(R46="","",R46*90+IF(S46="",0,S46)*I46*1000000/10000*H46/365)</f>
        <v/>
      </c>
      <c r="U46" s="52" t="str">
        <f aca="false">IF(L46="","",O46*(M46-L46)*10000)</f>
        <v/>
      </c>
      <c r="V46" s="50" t="str">
        <f aca="false">IF(O46="","",0)</f>
        <v/>
      </c>
      <c r="W46" s="53"/>
    </row>
    <row r="47" customFormat="false" ht="18.75" hidden="false" customHeight="true" outlineLevel="0" collapsed="false">
      <c r="A47" s="47" t="n">
        <v>40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32" t="str">
        <f aca="false">IF(J47="","",J47/100)</f>
        <v/>
      </c>
      <c r="M47" s="32" t="str">
        <f aca="false">IF(H47="","",IFERROR(VLOOKUP(H47*1,COURBE!$B$8:$N$27,IF(F47="ESTER",7,8),0),0))</f>
        <v/>
      </c>
      <c r="N47" s="49" t="str">
        <f aca="false">IF(L47="","",IF(G47="PAY",M47-L47,L47-M47))</f>
        <v/>
      </c>
      <c r="O47" s="50" t="str">
        <f aca="false">IF(H47="","",IF(G47="PAY",-1,1)*I47*1000000*H47/10000)</f>
        <v/>
      </c>
      <c r="P47" s="50" t="str">
        <f aca="false">IF(H47="","",I47*1000000*L47*H47/10000)</f>
        <v/>
      </c>
      <c r="Q47" s="51" t="str">
        <f aca="false">IF(O47="","",O47)</f>
        <v/>
      </c>
      <c r="R47" s="50" t="str">
        <f aca="false">IF(L47="","",IF(G47="PAY",(M47-L47),-( M47-L47))*I47*1000000/365)</f>
        <v/>
      </c>
      <c r="S47" s="49" t="str">
        <f aca="false">IF(H47="","",IFERROR((VLOOKUP(H47*1,COURBE!$B$8:$N$27,IF(F47="ESTER",7,8),0)-VLOOKUP(MAX(H47-1,1),COURBE!$B$8:$N$27,IF(F47="ESTER",7,8),0))*10000,0))</f>
        <v/>
      </c>
      <c r="T47" s="50" t="str">
        <f aca="false">IF(R47="","",R47*90+IF(S47="",0,S47)*I47*1000000/10000*H47/365)</f>
        <v/>
      </c>
      <c r="U47" s="52" t="str">
        <f aca="false">IF(L47="","",O47*(M47-L47)*10000)</f>
        <v/>
      </c>
      <c r="V47" s="50" t="str">
        <f aca="false">IF(O47="","",0)</f>
        <v/>
      </c>
      <c r="W47" s="54"/>
    </row>
    <row r="48" customFormat="false" ht="18.75" hidden="false" customHeight="true" outlineLevel="0" collapsed="false">
      <c r="A48" s="47" t="n">
        <v>41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32" t="str">
        <f aca="false">IF(J48="","",J48/100)</f>
        <v/>
      </c>
      <c r="M48" s="32" t="str">
        <f aca="false">IF(H48="","",IFERROR(VLOOKUP(H48*1,COURBE!$B$8:$N$27,IF(F48="ESTER",7,8),0),0))</f>
        <v/>
      </c>
      <c r="N48" s="49" t="str">
        <f aca="false">IF(L48="","",IF(G48="PAY",M48-L48,L48-M48))</f>
        <v/>
      </c>
      <c r="O48" s="50" t="str">
        <f aca="false">IF(H48="","",IF(G48="PAY",-1,1)*I48*1000000*H48/10000)</f>
        <v/>
      </c>
      <c r="P48" s="50" t="str">
        <f aca="false">IF(H48="","",I48*1000000*L48*H48/10000)</f>
        <v/>
      </c>
      <c r="Q48" s="51" t="str">
        <f aca="false">IF(O48="","",O48)</f>
        <v/>
      </c>
      <c r="R48" s="50" t="str">
        <f aca="false">IF(L48="","",IF(G48="PAY",(M48-L48),-( M48-L48))*I48*1000000/365)</f>
        <v/>
      </c>
      <c r="S48" s="49" t="str">
        <f aca="false">IF(H48="","",IFERROR((VLOOKUP(H48*1,COURBE!$B$8:$N$27,IF(F48="ESTER",7,8),0)-VLOOKUP(MAX(H48-1,1),COURBE!$B$8:$N$27,IF(F48="ESTER",7,8),0))*10000,0))</f>
        <v/>
      </c>
      <c r="T48" s="50" t="str">
        <f aca="false">IF(R48="","",R48*90+IF(S48="",0,S48)*I48*1000000/10000*H48/365)</f>
        <v/>
      </c>
      <c r="U48" s="52" t="str">
        <f aca="false">IF(L48="","",O48*(M48-L48)*10000)</f>
        <v/>
      </c>
      <c r="V48" s="50" t="str">
        <f aca="false">IF(O48="","",0)</f>
        <v/>
      </c>
      <c r="W48" s="53"/>
    </row>
    <row r="49" customFormat="false" ht="18.75" hidden="false" customHeight="true" outlineLevel="0" collapsed="false">
      <c r="A49" s="47" t="n">
        <v>42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32" t="str">
        <f aca="false">IF(J49="","",J49/100)</f>
        <v/>
      </c>
      <c r="M49" s="32" t="str">
        <f aca="false">IF(H49="","",IFERROR(VLOOKUP(H49*1,COURBE!$B$8:$N$27,IF(F49="ESTER",7,8),0),0))</f>
        <v/>
      </c>
      <c r="N49" s="49" t="str">
        <f aca="false">IF(L49="","",IF(G49="PAY",M49-L49,L49-M49))</f>
        <v/>
      </c>
      <c r="O49" s="50" t="str">
        <f aca="false">IF(H49="","",IF(G49="PAY",-1,1)*I49*1000000*H49/10000)</f>
        <v/>
      </c>
      <c r="P49" s="50" t="str">
        <f aca="false">IF(H49="","",I49*1000000*L49*H49/10000)</f>
        <v/>
      </c>
      <c r="Q49" s="51" t="str">
        <f aca="false">IF(O49="","",O49)</f>
        <v/>
      </c>
      <c r="R49" s="50" t="str">
        <f aca="false">IF(L49="","",IF(G49="PAY",(M49-L49),-( M49-L49))*I49*1000000/365)</f>
        <v/>
      </c>
      <c r="S49" s="49" t="str">
        <f aca="false">IF(H49="","",IFERROR((VLOOKUP(H49*1,COURBE!$B$8:$N$27,IF(F49="ESTER",7,8),0)-VLOOKUP(MAX(H49-1,1),COURBE!$B$8:$N$27,IF(F49="ESTER",7,8),0))*10000,0))</f>
        <v/>
      </c>
      <c r="T49" s="50" t="str">
        <f aca="false">IF(R49="","",R49*90+IF(S49="",0,S49)*I49*1000000/10000*H49/365)</f>
        <v/>
      </c>
      <c r="U49" s="52" t="str">
        <f aca="false">IF(L49="","",O49*(M49-L49)*10000)</f>
        <v/>
      </c>
      <c r="V49" s="50" t="str">
        <f aca="false">IF(O49="","",0)</f>
        <v/>
      </c>
      <c r="W49" s="54"/>
    </row>
    <row r="50" customFormat="false" ht="18.75" hidden="false" customHeight="true" outlineLevel="0" collapsed="false">
      <c r="A50" s="47" t="n">
        <v>43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32" t="str">
        <f aca="false">IF(J50="","",J50/100)</f>
        <v/>
      </c>
      <c r="M50" s="32" t="str">
        <f aca="false">IF(H50="","",IFERROR(VLOOKUP(H50*1,COURBE!$B$8:$N$27,IF(F50="ESTER",7,8),0),0))</f>
        <v/>
      </c>
      <c r="N50" s="49" t="str">
        <f aca="false">IF(L50="","",IF(G50="PAY",M50-L50,L50-M50))</f>
        <v/>
      </c>
      <c r="O50" s="50" t="str">
        <f aca="false">IF(H50="","",IF(G50="PAY",-1,1)*I50*1000000*H50/10000)</f>
        <v/>
      </c>
      <c r="P50" s="50" t="str">
        <f aca="false">IF(H50="","",I50*1000000*L50*H50/10000)</f>
        <v/>
      </c>
      <c r="Q50" s="51" t="str">
        <f aca="false">IF(O50="","",O50)</f>
        <v/>
      </c>
      <c r="R50" s="50" t="str">
        <f aca="false">IF(L50="","",IF(G50="PAY",(M50-L50),-( M50-L50))*I50*1000000/365)</f>
        <v/>
      </c>
      <c r="S50" s="49" t="str">
        <f aca="false">IF(H50="","",IFERROR((VLOOKUP(H50*1,COURBE!$B$8:$N$27,IF(F50="ESTER",7,8),0)-VLOOKUP(MAX(H50-1,1),COURBE!$B$8:$N$27,IF(F50="ESTER",7,8),0))*10000,0))</f>
        <v/>
      </c>
      <c r="T50" s="50" t="str">
        <f aca="false">IF(R50="","",R50*90+IF(S50="",0,S50)*I50*1000000/10000*H50/365)</f>
        <v/>
      </c>
      <c r="U50" s="52" t="str">
        <f aca="false">IF(L50="","",O50*(M50-L50)*10000)</f>
        <v/>
      </c>
      <c r="V50" s="50" t="str">
        <f aca="false">IF(O50="","",0)</f>
        <v/>
      </c>
      <c r="W50" s="53"/>
    </row>
    <row r="51" customFormat="false" ht="18.75" hidden="false" customHeight="true" outlineLevel="0" collapsed="false">
      <c r="A51" s="47" t="n">
        <v>44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32" t="str">
        <f aca="false">IF(J51="","",J51/100)</f>
        <v/>
      </c>
      <c r="M51" s="32" t="str">
        <f aca="false">IF(H51="","",IFERROR(VLOOKUP(H51*1,COURBE!$B$8:$N$27,IF(F51="ESTER",7,8),0),0))</f>
        <v/>
      </c>
      <c r="N51" s="49" t="str">
        <f aca="false">IF(L51="","",IF(G51="PAY",M51-L51,L51-M51))</f>
        <v/>
      </c>
      <c r="O51" s="50" t="str">
        <f aca="false">IF(H51="","",IF(G51="PAY",-1,1)*I51*1000000*H51/10000)</f>
        <v/>
      </c>
      <c r="P51" s="50" t="str">
        <f aca="false">IF(H51="","",I51*1000000*L51*H51/10000)</f>
        <v/>
      </c>
      <c r="Q51" s="51" t="str">
        <f aca="false">IF(O51="","",O51)</f>
        <v/>
      </c>
      <c r="R51" s="50" t="str">
        <f aca="false">IF(L51="","",IF(G51="PAY",(M51-L51),-( M51-L51))*I51*1000000/365)</f>
        <v/>
      </c>
      <c r="S51" s="49" t="str">
        <f aca="false">IF(H51="","",IFERROR((VLOOKUP(H51*1,COURBE!$B$8:$N$27,IF(F51="ESTER",7,8),0)-VLOOKUP(MAX(H51-1,1),COURBE!$B$8:$N$27,IF(F51="ESTER",7,8),0))*10000,0))</f>
        <v/>
      </c>
      <c r="T51" s="50" t="str">
        <f aca="false">IF(R51="","",R51*90+IF(S51="",0,S51)*I51*1000000/10000*H51/365)</f>
        <v/>
      </c>
      <c r="U51" s="52" t="str">
        <f aca="false">IF(L51="","",O51*(M51-L51)*10000)</f>
        <v/>
      </c>
      <c r="V51" s="50" t="str">
        <f aca="false">IF(O51="","",0)</f>
        <v/>
      </c>
      <c r="W51" s="54"/>
    </row>
    <row r="52" customFormat="false" ht="18.75" hidden="false" customHeight="true" outlineLevel="0" collapsed="false">
      <c r="A52" s="47" t="n">
        <v>45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32" t="str">
        <f aca="false">IF(J52="","",J52/100)</f>
        <v/>
      </c>
      <c r="M52" s="32" t="str">
        <f aca="false">IF(H52="","",IFERROR(VLOOKUP(H52*1,COURBE!$B$8:$N$27,IF(F52="ESTER",7,8),0),0))</f>
        <v/>
      </c>
      <c r="N52" s="49" t="str">
        <f aca="false">IF(L52="","",IF(G52="PAY",M52-L52,L52-M52))</f>
        <v/>
      </c>
      <c r="O52" s="50" t="str">
        <f aca="false">IF(H52="","",IF(G52="PAY",-1,1)*I52*1000000*H52/10000)</f>
        <v/>
      </c>
      <c r="P52" s="50" t="str">
        <f aca="false">IF(H52="","",I52*1000000*L52*H52/10000)</f>
        <v/>
      </c>
      <c r="Q52" s="51" t="str">
        <f aca="false">IF(O52="","",O52)</f>
        <v/>
      </c>
      <c r="R52" s="50" t="str">
        <f aca="false">IF(L52="","",IF(G52="PAY",(M52-L52),-( M52-L52))*I52*1000000/365)</f>
        <v/>
      </c>
      <c r="S52" s="49" t="str">
        <f aca="false">IF(H52="","",IFERROR((VLOOKUP(H52*1,COURBE!$B$8:$N$27,IF(F52="ESTER",7,8),0)-VLOOKUP(MAX(H52-1,1),COURBE!$B$8:$N$27,IF(F52="ESTER",7,8),0))*10000,0))</f>
        <v/>
      </c>
      <c r="T52" s="50" t="str">
        <f aca="false">IF(R52="","",R52*90+IF(S52="",0,S52)*I52*1000000/10000*H52/365)</f>
        <v/>
      </c>
      <c r="U52" s="52" t="str">
        <f aca="false">IF(L52="","",O52*(M52-L52)*10000)</f>
        <v/>
      </c>
      <c r="V52" s="50" t="str">
        <f aca="false">IF(O52="","",0)</f>
        <v/>
      </c>
      <c r="W52" s="53"/>
    </row>
    <row r="53" customFormat="false" ht="18.75" hidden="false" customHeight="true" outlineLevel="0" collapsed="false">
      <c r="A53" s="47" t="n">
        <v>46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32" t="str">
        <f aca="false">IF(J53="","",J53/100)</f>
        <v/>
      </c>
      <c r="M53" s="32" t="str">
        <f aca="false">IF(H53="","",IFERROR(VLOOKUP(H53*1,COURBE!$B$8:$N$27,IF(F53="ESTER",7,8),0),0))</f>
        <v/>
      </c>
      <c r="N53" s="49" t="str">
        <f aca="false">IF(L53="","",IF(G53="PAY",M53-L53,L53-M53))</f>
        <v/>
      </c>
      <c r="O53" s="50" t="str">
        <f aca="false">IF(H53="","",IF(G53="PAY",-1,1)*I53*1000000*H53/10000)</f>
        <v/>
      </c>
      <c r="P53" s="50" t="str">
        <f aca="false">IF(H53="","",I53*1000000*L53*H53/10000)</f>
        <v/>
      </c>
      <c r="Q53" s="51" t="str">
        <f aca="false">IF(O53="","",O53)</f>
        <v/>
      </c>
      <c r="R53" s="50" t="str">
        <f aca="false">IF(L53="","",IF(G53="PAY",(M53-L53),-( M53-L53))*I53*1000000/365)</f>
        <v/>
      </c>
      <c r="S53" s="49" t="str">
        <f aca="false">IF(H53="","",IFERROR((VLOOKUP(H53*1,COURBE!$B$8:$N$27,IF(F53="ESTER",7,8),0)-VLOOKUP(MAX(H53-1,1),COURBE!$B$8:$N$27,IF(F53="ESTER",7,8),0))*10000,0))</f>
        <v/>
      </c>
      <c r="T53" s="50" t="str">
        <f aca="false">IF(R53="","",R53*90+IF(S53="",0,S53)*I53*1000000/10000*H53/365)</f>
        <v/>
      </c>
      <c r="U53" s="52" t="str">
        <f aca="false">IF(L53="","",O53*(M53-L53)*10000)</f>
        <v/>
      </c>
      <c r="V53" s="50" t="str">
        <f aca="false">IF(O53="","",0)</f>
        <v/>
      </c>
      <c r="W53" s="54"/>
    </row>
    <row r="54" customFormat="false" ht="18.75" hidden="false" customHeight="true" outlineLevel="0" collapsed="false">
      <c r="A54" s="47" t="n">
        <v>47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32" t="str">
        <f aca="false">IF(J54="","",J54/100)</f>
        <v/>
      </c>
      <c r="M54" s="32" t="str">
        <f aca="false">IF(H54="","",IFERROR(VLOOKUP(H54*1,COURBE!$B$8:$N$27,IF(F54="ESTER",7,8),0),0))</f>
        <v/>
      </c>
      <c r="N54" s="49" t="str">
        <f aca="false">IF(L54="","",IF(G54="PAY",M54-L54,L54-M54))</f>
        <v/>
      </c>
      <c r="O54" s="50" t="str">
        <f aca="false">IF(H54="","",IF(G54="PAY",-1,1)*I54*1000000*H54/10000)</f>
        <v/>
      </c>
      <c r="P54" s="50" t="str">
        <f aca="false">IF(H54="","",I54*1000000*L54*H54/10000)</f>
        <v/>
      </c>
      <c r="Q54" s="51" t="str">
        <f aca="false">IF(O54="","",O54)</f>
        <v/>
      </c>
      <c r="R54" s="50" t="str">
        <f aca="false">IF(L54="","",IF(G54="PAY",(M54-L54),-( M54-L54))*I54*1000000/365)</f>
        <v/>
      </c>
      <c r="S54" s="49" t="str">
        <f aca="false">IF(H54="","",IFERROR((VLOOKUP(H54*1,COURBE!$B$8:$N$27,IF(F54="ESTER",7,8),0)-VLOOKUP(MAX(H54-1,1),COURBE!$B$8:$N$27,IF(F54="ESTER",7,8),0))*10000,0))</f>
        <v/>
      </c>
      <c r="T54" s="50" t="str">
        <f aca="false">IF(R54="","",R54*90+IF(S54="",0,S54)*I54*1000000/10000*H54/365)</f>
        <v/>
      </c>
      <c r="U54" s="52" t="str">
        <f aca="false">IF(L54="","",O54*(M54-L54)*10000)</f>
        <v/>
      </c>
      <c r="V54" s="50" t="str">
        <f aca="false">IF(O54="","",0)</f>
        <v/>
      </c>
      <c r="W54" s="53"/>
    </row>
    <row r="55" customFormat="false" ht="18.75" hidden="false" customHeight="true" outlineLevel="0" collapsed="false">
      <c r="A55" s="47" t="n">
        <v>48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32" t="str">
        <f aca="false">IF(J55="","",J55/100)</f>
        <v/>
      </c>
      <c r="M55" s="32" t="str">
        <f aca="false">IF(H55="","",IFERROR(VLOOKUP(H55*1,COURBE!$B$8:$N$27,IF(F55="ESTER",7,8),0),0))</f>
        <v/>
      </c>
      <c r="N55" s="49" t="str">
        <f aca="false">IF(L55="","",IF(G55="PAY",M55-L55,L55-M55))</f>
        <v/>
      </c>
      <c r="O55" s="50" t="str">
        <f aca="false">IF(H55="","",IF(G55="PAY",-1,1)*I55*1000000*H55/10000)</f>
        <v/>
      </c>
      <c r="P55" s="50" t="str">
        <f aca="false">IF(H55="","",I55*1000000*L55*H55/10000)</f>
        <v/>
      </c>
      <c r="Q55" s="51" t="str">
        <f aca="false">IF(O55="","",O55)</f>
        <v/>
      </c>
      <c r="R55" s="50" t="str">
        <f aca="false">IF(L55="","",IF(G55="PAY",(M55-L55),-( M55-L55))*I55*1000000/365)</f>
        <v/>
      </c>
      <c r="S55" s="49" t="str">
        <f aca="false">IF(H55="","",IFERROR((VLOOKUP(H55*1,COURBE!$B$8:$N$27,IF(F55="ESTER",7,8),0)-VLOOKUP(MAX(H55-1,1),COURBE!$B$8:$N$27,IF(F55="ESTER",7,8),0))*10000,0))</f>
        <v/>
      </c>
      <c r="T55" s="50" t="str">
        <f aca="false">IF(R55="","",R55*90+IF(S55="",0,S55)*I55*1000000/10000*H55/365)</f>
        <v/>
      </c>
      <c r="U55" s="52" t="str">
        <f aca="false">IF(L55="","",O55*(M55-L55)*10000)</f>
        <v/>
      </c>
      <c r="V55" s="50" t="str">
        <f aca="false">IF(O55="","",0)</f>
        <v/>
      </c>
      <c r="W55" s="54"/>
    </row>
    <row r="56" customFormat="false" ht="18.75" hidden="false" customHeight="true" outlineLevel="0" collapsed="false">
      <c r="A56" s="47" t="n">
        <v>49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32" t="str">
        <f aca="false">IF(J56="","",J56/100)</f>
        <v/>
      </c>
      <c r="M56" s="32" t="str">
        <f aca="false">IF(H56="","",IFERROR(VLOOKUP(H56*1,COURBE!$B$8:$N$27,IF(F56="ESTER",7,8),0),0))</f>
        <v/>
      </c>
      <c r="N56" s="49" t="str">
        <f aca="false">IF(L56="","",IF(G56="PAY",M56-L56,L56-M56))</f>
        <v/>
      </c>
      <c r="O56" s="50" t="str">
        <f aca="false">IF(H56="","",IF(G56="PAY",-1,1)*I56*1000000*H56/10000)</f>
        <v/>
      </c>
      <c r="P56" s="50" t="str">
        <f aca="false">IF(H56="","",I56*1000000*L56*H56/10000)</f>
        <v/>
      </c>
      <c r="Q56" s="51" t="str">
        <f aca="false">IF(O56="","",O56)</f>
        <v/>
      </c>
      <c r="R56" s="50" t="str">
        <f aca="false">IF(L56="","",IF(G56="PAY",(M56-L56),-( M56-L56))*I56*1000000/365)</f>
        <v/>
      </c>
      <c r="S56" s="49" t="str">
        <f aca="false">IF(H56="","",IFERROR((VLOOKUP(H56*1,COURBE!$B$8:$N$27,IF(F56="ESTER",7,8),0)-VLOOKUP(MAX(H56-1,1),COURBE!$B$8:$N$27,IF(F56="ESTER",7,8),0))*10000,0))</f>
        <v/>
      </c>
      <c r="T56" s="50" t="str">
        <f aca="false">IF(R56="","",R56*90+IF(S56="",0,S56)*I56*1000000/10000*H56/365)</f>
        <v/>
      </c>
      <c r="U56" s="52" t="str">
        <f aca="false">IF(L56="","",O56*(M56-L56)*10000)</f>
        <v/>
      </c>
      <c r="V56" s="50" t="str">
        <f aca="false">IF(O56="","",0)</f>
        <v/>
      </c>
      <c r="W56" s="53"/>
    </row>
    <row r="57" customFormat="false" ht="18.75" hidden="false" customHeight="true" outlineLevel="0" collapsed="false">
      <c r="A57" s="47" t="n">
        <v>50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32" t="str">
        <f aca="false">IF(J57="","",J57/100)</f>
        <v/>
      </c>
      <c r="M57" s="32" t="str">
        <f aca="false">IF(H57="","",IFERROR(VLOOKUP(H57*1,COURBE!$B$8:$N$27,IF(F57="ESTER",7,8),0),0))</f>
        <v/>
      </c>
      <c r="N57" s="49" t="str">
        <f aca="false">IF(L57="","",IF(G57="PAY",M57-L57,L57-M57))</f>
        <v/>
      </c>
      <c r="O57" s="50" t="str">
        <f aca="false">IF(H57="","",IF(G57="PAY",-1,1)*I57*1000000*H57/10000)</f>
        <v/>
      </c>
      <c r="P57" s="50" t="str">
        <f aca="false">IF(H57="","",I57*1000000*L57*H57/10000)</f>
        <v/>
      </c>
      <c r="Q57" s="51" t="str">
        <f aca="false">IF(O57="","",O57)</f>
        <v/>
      </c>
      <c r="R57" s="50" t="str">
        <f aca="false">IF(L57="","",IF(G57="PAY",(M57-L57),-( M57-L57))*I57*1000000/365)</f>
        <v/>
      </c>
      <c r="S57" s="49" t="str">
        <f aca="false">IF(H57="","",IFERROR((VLOOKUP(H57*1,COURBE!$B$8:$N$27,IF(F57="ESTER",7,8),0)-VLOOKUP(MAX(H57-1,1),COURBE!$B$8:$N$27,IF(F57="ESTER",7,8),0))*10000,0))</f>
        <v/>
      </c>
      <c r="T57" s="50" t="str">
        <f aca="false">IF(R57="","",R57*90+IF(S57="",0,S57)*I57*1000000/10000*H57/365)</f>
        <v/>
      </c>
      <c r="U57" s="52" t="str">
        <f aca="false">IF(L57="","",O57*(M57-L57)*10000)</f>
        <v/>
      </c>
      <c r="V57" s="50" t="str">
        <f aca="false">IF(O57="","",0)</f>
        <v/>
      </c>
      <c r="W57" s="54"/>
    </row>
    <row r="58" customFormat="false" ht="18.75" hidden="false" customHeight="true" outlineLevel="0" collapsed="false">
      <c r="A58" s="47" t="n">
        <v>51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32" t="str">
        <f aca="false">IF(J58="","",J58/100)</f>
        <v/>
      </c>
      <c r="M58" s="32" t="str">
        <f aca="false">IF(H58="","",IFERROR(VLOOKUP(H58*1,COURBE!$B$8:$N$27,IF(F58="ESTER",7,8),0),0))</f>
        <v/>
      </c>
      <c r="N58" s="49" t="str">
        <f aca="false">IF(L58="","",IF(G58="PAY",M58-L58,L58-M58))</f>
        <v/>
      </c>
      <c r="O58" s="50" t="str">
        <f aca="false">IF(H58="","",IF(G58="PAY",-1,1)*I58*1000000*H58/10000)</f>
        <v/>
      </c>
      <c r="P58" s="50" t="str">
        <f aca="false">IF(H58="","",I58*1000000*L58*H58/10000)</f>
        <v/>
      </c>
      <c r="Q58" s="51" t="str">
        <f aca="false">IF(O58="","",O58)</f>
        <v/>
      </c>
      <c r="R58" s="50" t="str">
        <f aca="false">IF(L58="","",IF(G58="PAY",(M58-L58),-( M58-L58))*I58*1000000/365)</f>
        <v/>
      </c>
      <c r="S58" s="49" t="str">
        <f aca="false">IF(H58="","",IFERROR((VLOOKUP(H58*1,COURBE!$B$8:$N$27,IF(F58="ESTER",7,8),0)-VLOOKUP(MAX(H58-1,1),COURBE!$B$8:$N$27,IF(F58="ESTER",7,8),0))*10000,0))</f>
        <v/>
      </c>
      <c r="T58" s="50" t="str">
        <f aca="false">IF(R58="","",R58*90+IF(S58="",0,S58)*I58*1000000/10000*H58/365)</f>
        <v/>
      </c>
      <c r="U58" s="52" t="str">
        <f aca="false">IF(L58="","",O58*(M58-L58)*10000)</f>
        <v/>
      </c>
      <c r="V58" s="50" t="str">
        <f aca="false">IF(O58="","",0)</f>
        <v/>
      </c>
      <c r="W58" s="53"/>
    </row>
    <row r="59" customFormat="false" ht="18.75" hidden="false" customHeight="true" outlineLevel="0" collapsed="false">
      <c r="A59" s="47" t="n">
        <v>52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32" t="str">
        <f aca="false">IF(J59="","",J59/100)</f>
        <v/>
      </c>
      <c r="M59" s="32" t="str">
        <f aca="false">IF(H59="","",IFERROR(VLOOKUP(H59*1,COURBE!$B$8:$N$27,IF(F59="ESTER",7,8),0),0))</f>
        <v/>
      </c>
      <c r="N59" s="49" t="str">
        <f aca="false">IF(L59="","",IF(G59="PAY",M59-L59,L59-M59))</f>
        <v/>
      </c>
      <c r="O59" s="50" t="str">
        <f aca="false">IF(H59="","",IF(G59="PAY",-1,1)*I59*1000000*H59/10000)</f>
        <v/>
      </c>
      <c r="P59" s="50" t="str">
        <f aca="false">IF(H59="","",I59*1000000*L59*H59/10000)</f>
        <v/>
      </c>
      <c r="Q59" s="51" t="str">
        <f aca="false">IF(O59="","",O59)</f>
        <v/>
      </c>
      <c r="R59" s="50" t="str">
        <f aca="false">IF(L59="","",IF(G59="PAY",(M59-L59),-( M59-L59))*I59*1000000/365)</f>
        <v/>
      </c>
      <c r="S59" s="49" t="str">
        <f aca="false">IF(H59="","",IFERROR((VLOOKUP(H59*1,COURBE!$B$8:$N$27,IF(F59="ESTER",7,8),0)-VLOOKUP(MAX(H59-1,1),COURBE!$B$8:$N$27,IF(F59="ESTER",7,8),0))*10000,0))</f>
        <v/>
      </c>
      <c r="T59" s="50" t="str">
        <f aca="false">IF(R59="","",R59*90+IF(S59="",0,S59)*I59*1000000/10000*H59/365)</f>
        <v/>
      </c>
      <c r="U59" s="52" t="str">
        <f aca="false">IF(L59="","",O59*(M59-L59)*10000)</f>
        <v/>
      </c>
      <c r="V59" s="50" t="str">
        <f aca="false">IF(O59="","",0)</f>
        <v/>
      </c>
      <c r="W59" s="54"/>
    </row>
    <row r="60" customFormat="false" ht="18.75" hidden="false" customHeight="true" outlineLevel="0" collapsed="false">
      <c r="A60" s="47" t="n">
        <v>53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32" t="str">
        <f aca="false">IF(J60="","",J60/100)</f>
        <v/>
      </c>
      <c r="M60" s="32" t="str">
        <f aca="false">IF(H60="","",IFERROR(VLOOKUP(H60*1,COURBE!$B$8:$N$27,IF(F60="ESTER",7,8),0),0))</f>
        <v/>
      </c>
      <c r="N60" s="49" t="str">
        <f aca="false">IF(L60="","",IF(G60="PAY",M60-L60,L60-M60))</f>
        <v/>
      </c>
      <c r="O60" s="50" t="str">
        <f aca="false">IF(H60="","",IF(G60="PAY",-1,1)*I60*1000000*H60/10000)</f>
        <v/>
      </c>
      <c r="P60" s="50" t="str">
        <f aca="false">IF(H60="","",I60*1000000*L60*H60/10000)</f>
        <v/>
      </c>
      <c r="Q60" s="51" t="str">
        <f aca="false">IF(O60="","",O60)</f>
        <v/>
      </c>
      <c r="R60" s="50" t="str">
        <f aca="false">IF(L60="","",IF(G60="PAY",(M60-L60),-( M60-L60))*I60*1000000/365)</f>
        <v/>
      </c>
      <c r="S60" s="49" t="str">
        <f aca="false">IF(H60="","",IFERROR((VLOOKUP(H60*1,COURBE!$B$8:$N$27,IF(F60="ESTER",7,8),0)-VLOOKUP(MAX(H60-1,1),COURBE!$B$8:$N$27,IF(F60="ESTER",7,8),0))*10000,0))</f>
        <v/>
      </c>
      <c r="T60" s="50" t="str">
        <f aca="false">IF(R60="","",R60*90+IF(S60="",0,S60)*I60*1000000/10000*H60/365)</f>
        <v/>
      </c>
      <c r="U60" s="52" t="str">
        <f aca="false">IF(L60="","",O60*(M60-L60)*10000)</f>
        <v/>
      </c>
      <c r="V60" s="50" t="str">
        <f aca="false">IF(O60="","",0)</f>
        <v/>
      </c>
      <c r="W60" s="53"/>
    </row>
    <row r="61" customFormat="false" ht="18.75" hidden="false" customHeight="true" outlineLevel="0" collapsed="false">
      <c r="A61" s="47" t="n">
        <v>54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32" t="str">
        <f aca="false">IF(J61="","",J61/100)</f>
        <v/>
      </c>
      <c r="M61" s="32" t="str">
        <f aca="false">IF(H61="","",IFERROR(VLOOKUP(H61*1,COURBE!$B$8:$N$27,IF(F61="ESTER",7,8),0),0))</f>
        <v/>
      </c>
      <c r="N61" s="49" t="str">
        <f aca="false">IF(L61="","",IF(G61="PAY",M61-L61,L61-M61))</f>
        <v/>
      </c>
      <c r="O61" s="50" t="str">
        <f aca="false">IF(H61="","",IF(G61="PAY",-1,1)*I61*1000000*H61/10000)</f>
        <v/>
      </c>
      <c r="P61" s="50" t="str">
        <f aca="false">IF(H61="","",I61*1000000*L61*H61/10000)</f>
        <v/>
      </c>
      <c r="Q61" s="51" t="str">
        <f aca="false">IF(O61="","",O61)</f>
        <v/>
      </c>
      <c r="R61" s="50" t="str">
        <f aca="false">IF(L61="","",IF(G61="PAY",(M61-L61),-( M61-L61))*I61*1000000/365)</f>
        <v/>
      </c>
      <c r="S61" s="49" t="str">
        <f aca="false">IF(H61="","",IFERROR((VLOOKUP(H61*1,COURBE!$B$8:$N$27,IF(F61="ESTER",7,8),0)-VLOOKUP(MAX(H61-1,1),COURBE!$B$8:$N$27,IF(F61="ESTER",7,8),0))*10000,0))</f>
        <v/>
      </c>
      <c r="T61" s="50" t="str">
        <f aca="false">IF(R61="","",R61*90+IF(S61="",0,S61)*I61*1000000/10000*H61/365)</f>
        <v/>
      </c>
      <c r="U61" s="52" t="str">
        <f aca="false">IF(L61="","",O61*(M61-L61)*10000)</f>
        <v/>
      </c>
      <c r="V61" s="50" t="str">
        <f aca="false">IF(O61="","",0)</f>
        <v/>
      </c>
      <c r="W61" s="54"/>
    </row>
    <row r="62" customFormat="false" ht="18.75" hidden="false" customHeight="true" outlineLevel="0" collapsed="false">
      <c r="A62" s="47" t="n">
        <v>55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32" t="str">
        <f aca="false">IF(J62="","",J62/100)</f>
        <v/>
      </c>
      <c r="M62" s="32" t="str">
        <f aca="false">IF(H62="","",IFERROR(VLOOKUP(H62*1,COURBE!$B$8:$N$27,IF(F62="ESTER",7,8),0),0))</f>
        <v/>
      </c>
      <c r="N62" s="49" t="str">
        <f aca="false">IF(L62="","",IF(G62="PAY",M62-L62,L62-M62))</f>
        <v/>
      </c>
      <c r="O62" s="50" t="str">
        <f aca="false">IF(H62="","",IF(G62="PAY",-1,1)*I62*1000000*H62/10000)</f>
        <v/>
      </c>
      <c r="P62" s="50" t="str">
        <f aca="false">IF(H62="","",I62*1000000*L62*H62/10000)</f>
        <v/>
      </c>
      <c r="Q62" s="51" t="str">
        <f aca="false">IF(O62="","",O62)</f>
        <v/>
      </c>
      <c r="R62" s="50" t="str">
        <f aca="false">IF(L62="","",IF(G62="PAY",(M62-L62),-( M62-L62))*I62*1000000/365)</f>
        <v/>
      </c>
      <c r="S62" s="49" t="str">
        <f aca="false">IF(H62="","",IFERROR((VLOOKUP(H62*1,COURBE!$B$8:$N$27,IF(F62="ESTER",7,8),0)-VLOOKUP(MAX(H62-1,1),COURBE!$B$8:$N$27,IF(F62="ESTER",7,8),0))*10000,0))</f>
        <v/>
      </c>
      <c r="T62" s="50" t="str">
        <f aca="false">IF(R62="","",R62*90+IF(S62="",0,S62)*I62*1000000/10000*H62/365)</f>
        <v/>
      </c>
      <c r="U62" s="52" t="str">
        <f aca="false">IF(L62="","",O62*(M62-L62)*10000)</f>
        <v/>
      </c>
      <c r="V62" s="50" t="str">
        <f aca="false">IF(O62="","",0)</f>
        <v/>
      </c>
      <c r="W62" s="53"/>
    </row>
    <row r="63" customFormat="false" ht="18.75" hidden="false" customHeight="true" outlineLevel="0" collapsed="false">
      <c r="A63" s="47" t="n">
        <v>56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32" t="str">
        <f aca="false">IF(J63="","",J63/100)</f>
        <v/>
      </c>
      <c r="M63" s="32" t="str">
        <f aca="false">IF(H63="","",IFERROR(VLOOKUP(H63*1,COURBE!$B$8:$N$27,IF(F63="ESTER",7,8),0),0))</f>
        <v/>
      </c>
      <c r="N63" s="49" t="str">
        <f aca="false">IF(L63="","",IF(G63="PAY",M63-L63,L63-M63))</f>
        <v/>
      </c>
      <c r="O63" s="50" t="str">
        <f aca="false">IF(H63="","",IF(G63="PAY",-1,1)*I63*1000000*H63/10000)</f>
        <v/>
      </c>
      <c r="P63" s="50" t="str">
        <f aca="false">IF(H63="","",I63*1000000*L63*H63/10000)</f>
        <v/>
      </c>
      <c r="Q63" s="51" t="str">
        <f aca="false">IF(O63="","",O63)</f>
        <v/>
      </c>
      <c r="R63" s="50" t="str">
        <f aca="false">IF(L63="","",IF(G63="PAY",(M63-L63),-( M63-L63))*I63*1000000/365)</f>
        <v/>
      </c>
      <c r="S63" s="49" t="str">
        <f aca="false">IF(H63="","",IFERROR((VLOOKUP(H63*1,COURBE!$B$8:$N$27,IF(F63="ESTER",7,8),0)-VLOOKUP(MAX(H63-1,1),COURBE!$B$8:$N$27,IF(F63="ESTER",7,8),0))*10000,0))</f>
        <v/>
      </c>
      <c r="T63" s="50" t="str">
        <f aca="false">IF(R63="","",R63*90+IF(S63="",0,S63)*I63*1000000/10000*H63/365)</f>
        <v/>
      </c>
      <c r="U63" s="52" t="str">
        <f aca="false">IF(L63="","",O63*(M63-L63)*10000)</f>
        <v/>
      </c>
      <c r="V63" s="50" t="str">
        <f aca="false">IF(O63="","",0)</f>
        <v/>
      </c>
      <c r="W63" s="54"/>
    </row>
    <row r="64" customFormat="false" ht="18.75" hidden="false" customHeight="true" outlineLevel="0" collapsed="false">
      <c r="A64" s="47" t="n">
        <v>57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32" t="str">
        <f aca="false">IF(J64="","",J64/100)</f>
        <v/>
      </c>
      <c r="M64" s="32" t="str">
        <f aca="false">IF(H64="","",IFERROR(VLOOKUP(H64*1,COURBE!$B$8:$N$27,IF(F64="ESTER",7,8),0),0))</f>
        <v/>
      </c>
      <c r="N64" s="49" t="str">
        <f aca="false">IF(L64="","",IF(G64="PAY",M64-L64,L64-M64))</f>
        <v/>
      </c>
      <c r="O64" s="50" t="str">
        <f aca="false">IF(H64="","",IF(G64="PAY",-1,1)*I64*1000000*H64/10000)</f>
        <v/>
      </c>
      <c r="P64" s="50" t="str">
        <f aca="false">IF(H64="","",I64*1000000*L64*H64/10000)</f>
        <v/>
      </c>
      <c r="Q64" s="51" t="str">
        <f aca="false">IF(O64="","",O64)</f>
        <v/>
      </c>
      <c r="R64" s="50" t="str">
        <f aca="false">IF(L64="","",IF(G64="PAY",(M64-L64),-( M64-L64))*I64*1000000/365)</f>
        <v/>
      </c>
      <c r="S64" s="49" t="str">
        <f aca="false">IF(H64="","",IFERROR((VLOOKUP(H64*1,COURBE!$B$8:$N$27,IF(F64="ESTER",7,8),0)-VLOOKUP(MAX(H64-1,1),COURBE!$B$8:$N$27,IF(F64="ESTER",7,8),0))*10000,0))</f>
        <v/>
      </c>
      <c r="T64" s="50" t="str">
        <f aca="false">IF(R64="","",R64*90+IF(S64="",0,S64)*I64*1000000/10000*H64/365)</f>
        <v/>
      </c>
      <c r="U64" s="52" t="str">
        <f aca="false">IF(L64="","",O64*(M64-L64)*10000)</f>
        <v/>
      </c>
      <c r="V64" s="50" t="str">
        <f aca="false">IF(O64="","",0)</f>
        <v/>
      </c>
      <c r="W64" s="53"/>
    </row>
    <row r="65" customFormat="false" ht="18.75" hidden="false" customHeight="true" outlineLevel="0" collapsed="false">
      <c r="A65" s="47" t="n">
        <v>58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32" t="str">
        <f aca="false">IF(J65="","",J65/100)</f>
        <v/>
      </c>
      <c r="M65" s="32" t="str">
        <f aca="false">IF(H65="","",IFERROR(VLOOKUP(H65*1,COURBE!$B$8:$N$27,IF(F65="ESTER",7,8),0),0))</f>
        <v/>
      </c>
      <c r="N65" s="49" t="str">
        <f aca="false">IF(L65="","",IF(G65="PAY",M65-L65,L65-M65))</f>
        <v/>
      </c>
      <c r="O65" s="50" t="str">
        <f aca="false">IF(H65="","",IF(G65="PAY",-1,1)*I65*1000000*H65/10000)</f>
        <v/>
      </c>
      <c r="P65" s="50" t="str">
        <f aca="false">IF(H65="","",I65*1000000*L65*H65/10000)</f>
        <v/>
      </c>
      <c r="Q65" s="51" t="str">
        <f aca="false">IF(O65="","",O65)</f>
        <v/>
      </c>
      <c r="R65" s="50" t="str">
        <f aca="false">IF(L65="","",IF(G65="PAY",(M65-L65),-( M65-L65))*I65*1000000/365)</f>
        <v/>
      </c>
      <c r="S65" s="49" t="str">
        <f aca="false">IF(H65="","",IFERROR((VLOOKUP(H65*1,COURBE!$B$8:$N$27,IF(F65="ESTER",7,8),0)-VLOOKUP(MAX(H65-1,1),COURBE!$B$8:$N$27,IF(F65="ESTER",7,8),0))*10000,0))</f>
        <v/>
      </c>
      <c r="T65" s="50" t="str">
        <f aca="false">IF(R65="","",R65*90+IF(S65="",0,S65)*I65*1000000/10000*H65/365)</f>
        <v/>
      </c>
      <c r="U65" s="52" t="str">
        <f aca="false">IF(L65="","",O65*(M65-L65)*10000)</f>
        <v/>
      </c>
      <c r="V65" s="50" t="str">
        <f aca="false">IF(O65="","",0)</f>
        <v/>
      </c>
      <c r="W65" s="54"/>
    </row>
    <row r="66" customFormat="false" ht="18.75" hidden="false" customHeight="true" outlineLevel="0" collapsed="false">
      <c r="A66" s="47" t="n">
        <v>59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32" t="str">
        <f aca="false">IF(J66="","",J66/100)</f>
        <v/>
      </c>
      <c r="M66" s="32" t="str">
        <f aca="false">IF(H66="","",IFERROR(VLOOKUP(H66*1,COURBE!$B$8:$N$27,IF(F66="ESTER",7,8),0),0))</f>
        <v/>
      </c>
      <c r="N66" s="49" t="str">
        <f aca="false">IF(L66="","",IF(G66="PAY",M66-L66,L66-M66))</f>
        <v/>
      </c>
      <c r="O66" s="50" t="str">
        <f aca="false">IF(H66="","",IF(G66="PAY",-1,1)*I66*1000000*H66/10000)</f>
        <v/>
      </c>
      <c r="P66" s="50" t="str">
        <f aca="false">IF(H66="","",I66*1000000*L66*H66/10000)</f>
        <v/>
      </c>
      <c r="Q66" s="51" t="str">
        <f aca="false">IF(O66="","",O66)</f>
        <v/>
      </c>
      <c r="R66" s="50" t="str">
        <f aca="false">IF(L66="","",IF(G66="PAY",(M66-L66),-( M66-L66))*I66*1000000/365)</f>
        <v/>
      </c>
      <c r="S66" s="49" t="str">
        <f aca="false">IF(H66="","",IFERROR((VLOOKUP(H66*1,COURBE!$B$8:$N$27,IF(F66="ESTER",7,8),0)-VLOOKUP(MAX(H66-1,1),COURBE!$B$8:$N$27,IF(F66="ESTER",7,8),0))*10000,0))</f>
        <v/>
      </c>
      <c r="T66" s="50" t="str">
        <f aca="false">IF(R66="","",R66*90+IF(S66="",0,S66)*I66*1000000/10000*H66/365)</f>
        <v/>
      </c>
      <c r="U66" s="52" t="str">
        <f aca="false">IF(L66="","",O66*(M66-L66)*10000)</f>
        <v/>
      </c>
      <c r="V66" s="50" t="str">
        <f aca="false">IF(O66="","",0)</f>
        <v/>
      </c>
      <c r="W66" s="53"/>
    </row>
    <row r="67" customFormat="false" ht="18.75" hidden="false" customHeight="true" outlineLevel="0" collapsed="false">
      <c r="A67" s="47" t="n">
        <v>60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32" t="str">
        <f aca="false">IF(J67="","",J67/100)</f>
        <v/>
      </c>
      <c r="M67" s="32" t="str">
        <f aca="false">IF(H67="","",IFERROR(VLOOKUP(H67*1,COURBE!$B$8:$N$27,IF(F67="ESTER",7,8),0),0))</f>
        <v/>
      </c>
      <c r="N67" s="49" t="str">
        <f aca="false">IF(L67="","",IF(G67="PAY",M67-L67,L67-M67))</f>
        <v/>
      </c>
      <c r="O67" s="50" t="str">
        <f aca="false">IF(H67="","",IF(G67="PAY",-1,1)*I67*1000000*H67/10000)</f>
        <v/>
      </c>
      <c r="P67" s="50" t="str">
        <f aca="false">IF(H67="","",I67*1000000*L67*H67/10000)</f>
        <v/>
      </c>
      <c r="Q67" s="51" t="str">
        <f aca="false">IF(O67="","",O67)</f>
        <v/>
      </c>
      <c r="R67" s="50" t="str">
        <f aca="false">IF(L67="","",IF(G67="PAY",(M67-L67),-( M67-L67))*I67*1000000/365)</f>
        <v/>
      </c>
      <c r="S67" s="49" t="str">
        <f aca="false">IF(H67="","",IFERROR((VLOOKUP(H67*1,COURBE!$B$8:$N$27,IF(F67="ESTER",7,8),0)-VLOOKUP(MAX(H67-1,1),COURBE!$B$8:$N$27,IF(F67="ESTER",7,8),0))*10000,0))</f>
        <v/>
      </c>
      <c r="T67" s="50" t="str">
        <f aca="false">IF(R67="","",R67*90+IF(S67="",0,S67)*I67*1000000/10000*H67/365)</f>
        <v/>
      </c>
      <c r="U67" s="52" t="str">
        <f aca="false">IF(L67="","",O67*(M67-L67)*10000)</f>
        <v/>
      </c>
      <c r="V67" s="50" t="str">
        <f aca="false">IF(O67="","",0)</f>
        <v/>
      </c>
      <c r="W67" s="54"/>
    </row>
    <row r="68" customFormat="false" ht="18.75" hidden="false" customHeight="true" outlineLevel="0" collapsed="false">
      <c r="A68" s="47" t="n">
        <v>61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32" t="str">
        <f aca="false">IF(J68="","",J68/100)</f>
        <v/>
      </c>
      <c r="M68" s="32" t="str">
        <f aca="false">IF(H68="","",IFERROR(VLOOKUP(H68*1,COURBE!$B$8:$N$27,IF(F68="ESTER",7,8),0),0))</f>
        <v/>
      </c>
      <c r="N68" s="49" t="str">
        <f aca="false">IF(L68="","",IF(G68="PAY",M68-L68,L68-M68))</f>
        <v/>
      </c>
      <c r="O68" s="50" t="str">
        <f aca="false">IF(H68="","",IF(G68="PAY",-1,1)*I68*1000000*H68/10000)</f>
        <v/>
      </c>
      <c r="P68" s="50" t="str">
        <f aca="false">IF(H68="","",I68*1000000*L68*H68/10000)</f>
        <v/>
      </c>
      <c r="Q68" s="51" t="str">
        <f aca="false">IF(O68="","",O68)</f>
        <v/>
      </c>
      <c r="R68" s="50" t="str">
        <f aca="false">IF(L68="","",IF(G68="PAY",(M68-L68),-( M68-L68))*I68*1000000/365)</f>
        <v/>
      </c>
      <c r="S68" s="49" t="str">
        <f aca="false">IF(H68="","",IFERROR((VLOOKUP(H68*1,COURBE!$B$8:$N$27,IF(F68="ESTER",7,8),0)-VLOOKUP(MAX(H68-1,1),COURBE!$B$8:$N$27,IF(F68="ESTER",7,8),0))*10000,0))</f>
        <v/>
      </c>
      <c r="T68" s="50" t="str">
        <f aca="false">IF(R68="","",R68*90+IF(S68="",0,S68)*I68*1000000/10000*H68/365)</f>
        <v/>
      </c>
      <c r="U68" s="52" t="str">
        <f aca="false">IF(L68="","",O68*(M68-L68)*10000)</f>
        <v/>
      </c>
      <c r="V68" s="50" t="str">
        <f aca="false">IF(O68="","",0)</f>
        <v/>
      </c>
      <c r="W68" s="53"/>
    </row>
    <row r="69" customFormat="false" ht="18.75" hidden="false" customHeight="true" outlineLevel="0" collapsed="false">
      <c r="A69" s="47" t="n">
        <v>62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32" t="str">
        <f aca="false">IF(J69="","",J69/100)</f>
        <v/>
      </c>
      <c r="M69" s="32" t="str">
        <f aca="false">IF(H69="","",IFERROR(VLOOKUP(H69*1,COURBE!$B$8:$N$27,IF(F69="ESTER",7,8),0),0))</f>
        <v/>
      </c>
      <c r="N69" s="49" t="str">
        <f aca="false">IF(L69="","",IF(G69="PAY",M69-L69,L69-M69))</f>
        <v/>
      </c>
      <c r="O69" s="50" t="str">
        <f aca="false">IF(H69="","",IF(G69="PAY",-1,1)*I69*1000000*H69/10000)</f>
        <v/>
      </c>
      <c r="P69" s="50" t="str">
        <f aca="false">IF(H69="","",I69*1000000*L69*H69/10000)</f>
        <v/>
      </c>
      <c r="Q69" s="51" t="str">
        <f aca="false">IF(O69="","",O69)</f>
        <v/>
      </c>
      <c r="R69" s="50" t="str">
        <f aca="false">IF(L69="","",IF(G69="PAY",(M69-L69),-( M69-L69))*I69*1000000/365)</f>
        <v/>
      </c>
      <c r="S69" s="49" t="str">
        <f aca="false">IF(H69="","",IFERROR((VLOOKUP(H69*1,COURBE!$B$8:$N$27,IF(F69="ESTER",7,8),0)-VLOOKUP(MAX(H69-1,1),COURBE!$B$8:$N$27,IF(F69="ESTER",7,8),0))*10000,0))</f>
        <v/>
      </c>
      <c r="T69" s="50" t="str">
        <f aca="false">IF(R69="","",R69*90+IF(S69="",0,S69)*I69*1000000/10000*H69/365)</f>
        <v/>
      </c>
      <c r="U69" s="52" t="str">
        <f aca="false">IF(L69="","",O69*(M69-L69)*10000)</f>
        <v/>
      </c>
      <c r="V69" s="50" t="str">
        <f aca="false">IF(O69="","",0)</f>
        <v/>
      </c>
      <c r="W69" s="54"/>
    </row>
    <row r="70" customFormat="false" ht="18.75" hidden="false" customHeight="true" outlineLevel="0" collapsed="false">
      <c r="A70" s="47" t="n">
        <v>63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32" t="str">
        <f aca="false">IF(J70="","",J70/100)</f>
        <v/>
      </c>
      <c r="M70" s="32" t="str">
        <f aca="false">IF(H70="","",IFERROR(VLOOKUP(H70*1,COURBE!$B$8:$N$27,IF(F70="ESTER",7,8),0),0))</f>
        <v/>
      </c>
      <c r="N70" s="49" t="str">
        <f aca="false">IF(L70="","",IF(G70="PAY",M70-L70,L70-M70))</f>
        <v/>
      </c>
      <c r="O70" s="50" t="str">
        <f aca="false">IF(H70="","",IF(G70="PAY",-1,1)*I70*1000000*H70/10000)</f>
        <v/>
      </c>
      <c r="P70" s="50" t="str">
        <f aca="false">IF(H70="","",I70*1000000*L70*H70/10000)</f>
        <v/>
      </c>
      <c r="Q70" s="51" t="str">
        <f aca="false">IF(O70="","",O70)</f>
        <v/>
      </c>
      <c r="R70" s="50" t="str">
        <f aca="false">IF(L70="","",IF(G70="PAY",(M70-L70),-( M70-L70))*I70*1000000/365)</f>
        <v/>
      </c>
      <c r="S70" s="49" t="str">
        <f aca="false">IF(H70="","",IFERROR((VLOOKUP(H70*1,COURBE!$B$8:$N$27,IF(F70="ESTER",7,8),0)-VLOOKUP(MAX(H70-1,1),COURBE!$B$8:$N$27,IF(F70="ESTER",7,8),0))*10000,0))</f>
        <v/>
      </c>
      <c r="T70" s="50" t="str">
        <f aca="false">IF(R70="","",R70*90+IF(S70="",0,S70)*I70*1000000/10000*H70/365)</f>
        <v/>
      </c>
      <c r="U70" s="52" t="str">
        <f aca="false">IF(L70="","",O70*(M70-L70)*10000)</f>
        <v/>
      </c>
      <c r="V70" s="50" t="str">
        <f aca="false">IF(O70="","",0)</f>
        <v/>
      </c>
      <c r="W70" s="53"/>
    </row>
    <row r="71" customFormat="false" ht="18.75" hidden="false" customHeight="true" outlineLevel="0" collapsed="false">
      <c r="A71" s="47" t="n">
        <v>64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32" t="str">
        <f aca="false">IF(J71="","",J71/100)</f>
        <v/>
      </c>
      <c r="M71" s="32" t="str">
        <f aca="false">IF(H71="","",IFERROR(VLOOKUP(H71*1,COURBE!$B$8:$N$27,IF(F71="ESTER",7,8),0),0))</f>
        <v/>
      </c>
      <c r="N71" s="49" t="str">
        <f aca="false">IF(L71="","",IF(G71="PAY",M71-L71,L71-M71))</f>
        <v/>
      </c>
      <c r="O71" s="50" t="str">
        <f aca="false">IF(H71="","",IF(G71="PAY",-1,1)*I71*1000000*H71/10000)</f>
        <v/>
      </c>
      <c r="P71" s="50" t="str">
        <f aca="false">IF(H71="","",I71*1000000*L71*H71/10000)</f>
        <v/>
      </c>
      <c r="Q71" s="51" t="str">
        <f aca="false">IF(O71="","",O71)</f>
        <v/>
      </c>
      <c r="R71" s="50" t="str">
        <f aca="false">IF(L71="","",IF(G71="PAY",(M71-L71),-( M71-L71))*I71*1000000/365)</f>
        <v/>
      </c>
      <c r="S71" s="49" t="str">
        <f aca="false">IF(H71="","",IFERROR((VLOOKUP(H71*1,COURBE!$B$8:$N$27,IF(F71="ESTER",7,8),0)-VLOOKUP(MAX(H71-1,1),COURBE!$B$8:$N$27,IF(F71="ESTER",7,8),0))*10000,0))</f>
        <v/>
      </c>
      <c r="T71" s="50" t="str">
        <f aca="false">IF(R71="","",R71*90+IF(S71="",0,S71)*I71*1000000/10000*H71/365)</f>
        <v/>
      </c>
      <c r="U71" s="52" t="str">
        <f aca="false">IF(L71="","",O71*(M71-L71)*10000)</f>
        <v/>
      </c>
      <c r="V71" s="50" t="str">
        <f aca="false">IF(O71="","",0)</f>
        <v/>
      </c>
      <c r="W71" s="54"/>
    </row>
    <row r="72" customFormat="false" ht="18.75" hidden="false" customHeight="true" outlineLevel="0" collapsed="false">
      <c r="A72" s="47" t="n">
        <v>65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32" t="str">
        <f aca="false">IF(J72="","",J72/100)</f>
        <v/>
      </c>
      <c r="M72" s="32" t="str">
        <f aca="false">IF(H72="","",IFERROR(VLOOKUP(H72*1,COURBE!$B$8:$N$27,IF(F72="ESTER",7,8),0),0))</f>
        <v/>
      </c>
      <c r="N72" s="49" t="str">
        <f aca="false">IF(L72="","",IF(G72="PAY",M72-L72,L72-M72))</f>
        <v/>
      </c>
      <c r="O72" s="50" t="str">
        <f aca="false">IF(H72="","",IF(G72="PAY",-1,1)*I72*1000000*H72/10000)</f>
        <v/>
      </c>
      <c r="P72" s="50" t="str">
        <f aca="false">IF(H72="","",I72*1000000*L72*H72/10000)</f>
        <v/>
      </c>
      <c r="Q72" s="51" t="str">
        <f aca="false">IF(O72="","",O72)</f>
        <v/>
      </c>
      <c r="R72" s="50" t="str">
        <f aca="false">IF(L72="","",IF(G72="PAY",(M72-L72),-( M72-L72))*I72*1000000/365)</f>
        <v/>
      </c>
      <c r="S72" s="49" t="str">
        <f aca="false">IF(H72="","",IFERROR((VLOOKUP(H72*1,COURBE!$B$8:$N$27,IF(F72="ESTER",7,8),0)-VLOOKUP(MAX(H72-1,1),COURBE!$B$8:$N$27,IF(F72="ESTER",7,8),0))*10000,0))</f>
        <v/>
      </c>
      <c r="T72" s="50" t="str">
        <f aca="false">IF(R72="","",R72*90+IF(S72="",0,S72)*I72*1000000/10000*H72/365)</f>
        <v/>
      </c>
      <c r="U72" s="52" t="str">
        <f aca="false">IF(L72="","",O72*(M72-L72)*10000)</f>
        <v/>
      </c>
      <c r="V72" s="50" t="str">
        <f aca="false">IF(O72="","",0)</f>
        <v/>
      </c>
      <c r="W72" s="53"/>
    </row>
    <row r="73" customFormat="false" ht="18.75" hidden="false" customHeight="true" outlineLevel="0" collapsed="false">
      <c r="A73" s="47" t="n">
        <v>66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32" t="str">
        <f aca="false">IF(J73="","",J73/100)</f>
        <v/>
      </c>
      <c r="M73" s="32" t="str">
        <f aca="false">IF(H73="","",IFERROR(VLOOKUP(H73*1,COURBE!$B$8:$N$27,IF(F73="ESTER",7,8),0),0))</f>
        <v/>
      </c>
      <c r="N73" s="49" t="str">
        <f aca="false">IF(L73="","",IF(G73="PAY",M73-L73,L73-M73))</f>
        <v/>
      </c>
      <c r="O73" s="50" t="str">
        <f aca="false">IF(H73="","",IF(G73="PAY",-1,1)*I73*1000000*H73/10000)</f>
        <v/>
      </c>
      <c r="P73" s="50" t="str">
        <f aca="false">IF(H73="","",I73*1000000*L73*H73/10000)</f>
        <v/>
      </c>
      <c r="Q73" s="51" t="str">
        <f aca="false">IF(O73="","",O73)</f>
        <v/>
      </c>
      <c r="R73" s="50" t="str">
        <f aca="false">IF(L73="","",IF(G73="PAY",(M73-L73),-( M73-L73))*I73*1000000/365)</f>
        <v/>
      </c>
      <c r="S73" s="49" t="str">
        <f aca="false">IF(H73="","",IFERROR((VLOOKUP(H73*1,COURBE!$B$8:$N$27,IF(F73="ESTER",7,8),0)-VLOOKUP(MAX(H73-1,1),COURBE!$B$8:$N$27,IF(F73="ESTER",7,8),0))*10000,0))</f>
        <v/>
      </c>
      <c r="T73" s="50" t="str">
        <f aca="false">IF(R73="","",R73*90+IF(S73="",0,S73)*I73*1000000/10000*H73/365)</f>
        <v/>
      </c>
      <c r="U73" s="52" t="str">
        <f aca="false">IF(L73="","",O73*(M73-L73)*10000)</f>
        <v/>
      </c>
      <c r="V73" s="50" t="str">
        <f aca="false">IF(O73="","",0)</f>
        <v/>
      </c>
      <c r="W73" s="54"/>
    </row>
    <row r="74" customFormat="false" ht="18.75" hidden="false" customHeight="true" outlineLevel="0" collapsed="false">
      <c r="A74" s="47" t="n">
        <v>67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32" t="str">
        <f aca="false">IF(J74="","",J74/100)</f>
        <v/>
      </c>
      <c r="M74" s="32" t="str">
        <f aca="false">IF(H74="","",IFERROR(VLOOKUP(H74*1,COURBE!$B$8:$N$27,IF(F74="ESTER",7,8),0),0))</f>
        <v/>
      </c>
      <c r="N74" s="49" t="str">
        <f aca="false">IF(L74="","",IF(G74="PAY",M74-L74,L74-M74))</f>
        <v/>
      </c>
      <c r="O74" s="50" t="str">
        <f aca="false">IF(H74="","",IF(G74="PAY",-1,1)*I74*1000000*H74/10000)</f>
        <v/>
      </c>
      <c r="P74" s="50" t="str">
        <f aca="false">IF(H74="","",I74*1000000*L74*H74/10000)</f>
        <v/>
      </c>
      <c r="Q74" s="51" t="str">
        <f aca="false">IF(O74="","",O74)</f>
        <v/>
      </c>
      <c r="R74" s="50" t="str">
        <f aca="false">IF(L74="","",IF(G74="PAY",(M74-L74),-( M74-L74))*I74*1000000/365)</f>
        <v/>
      </c>
      <c r="S74" s="49" t="str">
        <f aca="false">IF(H74="","",IFERROR((VLOOKUP(H74*1,COURBE!$B$8:$N$27,IF(F74="ESTER",7,8),0)-VLOOKUP(MAX(H74-1,1),COURBE!$B$8:$N$27,IF(F74="ESTER",7,8),0))*10000,0))</f>
        <v/>
      </c>
      <c r="T74" s="50" t="str">
        <f aca="false">IF(R74="","",R74*90+IF(S74="",0,S74)*I74*1000000/10000*H74/365)</f>
        <v/>
      </c>
      <c r="U74" s="52" t="str">
        <f aca="false">IF(L74="","",O74*(M74-L74)*10000)</f>
        <v/>
      </c>
      <c r="V74" s="50" t="str">
        <f aca="false">IF(O74="","",0)</f>
        <v/>
      </c>
      <c r="W74" s="53"/>
    </row>
    <row r="75" customFormat="false" ht="18.75" hidden="false" customHeight="true" outlineLevel="0" collapsed="false">
      <c r="A75" s="47" t="n">
        <v>68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32" t="str">
        <f aca="false">IF(J75="","",J75/100)</f>
        <v/>
      </c>
      <c r="M75" s="32" t="str">
        <f aca="false">IF(H75="","",IFERROR(VLOOKUP(H75*1,COURBE!$B$8:$N$27,IF(F75="ESTER",7,8),0),0))</f>
        <v/>
      </c>
      <c r="N75" s="49" t="str">
        <f aca="false">IF(L75="","",IF(G75="PAY",M75-L75,L75-M75))</f>
        <v/>
      </c>
      <c r="O75" s="50" t="str">
        <f aca="false">IF(H75="","",IF(G75="PAY",-1,1)*I75*1000000*H75/10000)</f>
        <v/>
      </c>
      <c r="P75" s="50" t="str">
        <f aca="false">IF(H75="","",I75*1000000*L75*H75/10000)</f>
        <v/>
      </c>
      <c r="Q75" s="51" t="str">
        <f aca="false">IF(O75="","",O75)</f>
        <v/>
      </c>
      <c r="R75" s="50" t="str">
        <f aca="false">IF(L75="","",IF(G75="PAY",(M75-L75),-( M75-L75))*I75*1000000/365)</f>
        <v/>
      </c>
      <c r="S75" s="49" t="str">
        <f aca="false">IF(H75="","",IFERROR((VLOOKUP(H75*1,COURBE!$B$8:$N$27,IF(F75="ESTER",7,8),0)-VLOOKUP(MAX(H75-1,1),COURBE!$B$8:$N$27,IF(F75="ESTER",7,8),0))*10000,0))</f>
        <v/>
      </c>
      <c r="T75" s="50" t="str">
        <f aca="false">IF(R75="","",R75*90+IF(S75="",0,S75)*I75*1000000/10000*H75/365)</f>
        <v/>
      </c>
      <c r="U75" s="52" t="str">
        <f aca="false">IF(L75="","",O75*(M75-L75)*10000)</f>
        <v/>
      </c>
      <c r="V75" s="50" t="str">
        <f aca="false">IF(O75="","",0)</f>
        <v/>
      </c>
      <c r="W75" s="54"/>
    </row>
    <row r="76" customFormat="false" ht="18.75" hidden="false" customHeight="true" outlineLevel="0" collapsed="false">
      <c r="A76" s="47" t="n">
        <v>69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32" t="str">
        <f aca="false">IF(J76="","",J76/100)</f>
        <v/>
      </c>
      <c r="M76" s="32" t="str">
        <f aca="false">IF(H76="","",IFERROR(VLOOKUP(H76*1,COURBE!$B$8:$N$27,IF(F76="ESTER",7,8),0),0))</f>
        <v/>
      </c>
      <c r="N76" s="49" t="str">
        <f aca="false">IF(L76="","",IF(G76="PAY",M76-L76,L76-M76))</f>
        <v/>
      </c>
      <c r="O76" s="50" t="str">
        <f aca="false">IF(H76="","",IF(G76="PAY",-1,1)*I76*1000000*H76/10000)</f>
        <v/>
      </c>
      <c r="P76" s="50" t="str">
        <f aca="false">IF(H76="","",I76*1000000*L76*H76/10000)</f>
        <v/>
      </c>
      <c r="Q76" s="51" t="str">
        <f aca="false">IF(O76="","",O76)</f>
        <v/>
      </c>
      <c r="R76" s="50" t="str">
        <f aca="false">IF(L76="","",IF(G76="PAY",(M76-L76),-( M76-L76))*I76*1000000/365)</f>
        <v/>
      </c>
      <c r="S76" s="49" t="str">
        <f aca="false">IF(H76="","",IFERROR((VLOOKUP(H76*1,COURBE!$B$8:$N$27,IF(F76="ESTER",7,8),0)-VLOOKUP(MAX(H76-1,1),COURBE!$B$8:$N$27,IF(F76="ESTER",7,8),0))*10000,0))</f>
        <v/>
      </c>
      <c r="T76" s="50" t="str">
        <f aca="false">IF(R76="","",R76*90+IF(S76="",0,S76)*I76*1000000/10000*H76/365)</f>
        <v/>
      </c>
      <c r="U76" s="52" t="str">
        <f aca="false">IF(L76="","",O76*(M76-L76)*10000)</f>
        <v/>
      </c>
      <c r="V76" s="50" t="str">
        <f aca="false">IF(O76="","",0)</f>
        <v/>
      </c>
      <c r="W76" s="53"/>
    </row>
    <row r="77" customFormat="false" ht="18.75" hidden="false" customHeight="true" outlineLevel="0" collapsed="false">
      <c r="A77" s="47" t="n">
        <v>70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32" t="str">
        <f aca="false">IF(J77="","",J77/100)</f>
        <v/>
      </c>
      <c r="M77" s="32" t="str">
        <f aca="false">IF(H77="","",IFERROR(VLOOKUP(H77*1,COURBE!$B$8:$N$27,IF(F77="ESTER",7,8),0),0))</f>
        <v/>
      </c>
      <c r="N77" s="49" t="str">
        <f aca="false">IF(L77="","",IF(G77="PAY",M77-L77,L77-M77))</f>
        <v/>
      </c>
      <c r="O77" s="50" t="str">
        <f aca="false">IF(H77="","",IF(G77="PAY",-1,1)*I77*1000000*H77/10000)</f>
        <v/>
      </c>
      <c r="P77" s="50" t="str">
        <f aca="false">IF(H77="","",I77*1000000*L77*H77/10000)</f>
        <v/>
      </c>
      <c r="Q77" s="51" t="str">
        <f aca="false">IF(O77="","",O77)</f>
        <v/>
      </c>
      <c r="R77" s="50" t="str">
        <f aca="false">IF(L77="","",IF(G77="PAY",(M77-L77),-( M77-L77))*I77*1000000/365)</f>
        <v/>
      </c>
      <c r="S77" s="49" t="str">
        <f aca="false">IF(H77="","",IFERROR((VLOOKUP(H77*1,COURBE!$B$8:$N$27,IF(F77="ESTER",7,8),0)-VLOOKUP(MAX(H77-1,1),COURBE!$B$8:$N$27,IF(F77="ESTER",7,8),0))*10000,0))</f>
        <v/>
      </c>
      <c r="T77" s="50" t="str">
        <f aca="false">IF(R77="","",R77*90+IF(S77="",0,S77)*I77*1000000/10000*H77/365)</f>
        <v/>
      </c>
      <c r="U77" s="52" t="str">
        <f aca="false">IF(L77="","",O77*(M77-L77)*10000)</f>
        <v/>
      </c>
      <c r="V77" s="50" t="str">
        <f aca="false">IF(O77="","",0)</f>
        <v/>
      </c>
      <c r="W77" s="54"/>
    </row>
    <row r="78" customFormat="false" ht="18.75" hidden="false" customHeight="true" outlineLevel="0" collapsed="false">
      <c r="A78" s="47" t="n">
        <v>71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32" t="str">
        <f aca="false">IF(J78="","",J78/100)</f>
        <v/>
      </c>
      <c r="M78" s="32" t="str">
        <f aca="false">IF(H78="","",IFERROR(VLOOKUP(H78*1,COURBE!$B$8:$N$27,IF(F78="ESTER",7,8),0),0))</f>
        <v/>
      </c>
      <c r="N78" s="49" t="str">
        <f aca="false">IF(L78="","",IF(G78="PAY",M78-L78,L78-M78))</f>
        <v/>
      </c>
      <c r="O78" s="50" t="str">
        <f aca="false">IF(H78="","",IF(G78="PAY",-1,1)*I78*1000000*H78/10000)</f>
        <v/>
      </c>
      <c r="P78" s="50" t="str">
        <f aca="false">IF(H78="","",I78*1000000*L78*H78/10000)</f>
        <v/>
      </c>
      <c r="Q78" s="51" t="str">
        <f aca="false">IF(O78="","",O78)</f>
        <v/>
      </c>
      <c r="R78" s="50" t="str">
        <f aca="false">IF(L78="","",IF(G78="PAY",(M78-L78),-( M78-L78))*I78*1000000/365)</f>
        <v/>
      </c>
      <c r="S78" s="49" t="str">
        <f aca="false">IF(H78="","",IFERROR((VLOOKUP(H78*1,COURBE!$B$8:$N$27,IF(F78="ESTER",7,8),0)-VLOOKUP(MAX(H78-1,1),COURBE!$B$8:$N$27,IF(F78="ESTER",7,8),0))*10000,0))</f>
        <v/>
      </c>
      <c r="T78" s="50" t="str">
        <f aca="false">IF(R78="","",R78*90+IF(S78="",0,S78)*I78*1000000/10000*H78/365)</f>
        <v/>
      </c>
      <c r="U78" s="52" t="str">
        <f aca="false">IF(L78="","",O78*(M78-L78)*10000)</f>
        <v/>
      </c>
      <c r="V78" s="50" t="str">
        <f aca="false">IF(O78="","",0)</f>
        <v/>
      </c>
      <c r="W78" s="53"/>
    </row>
    <row r="79" customFormat="false" ht="18.75" hidden="false" customHeight="true" outlineLevel="0" collapsed="false">
      <c r="A79" s="47" t="n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32" t="str">
        <f aca="false">IF(J79="","",J79/100)</f>
        <v/>
      </c>
      <c r="M79" s="32" t="str">
        <f aca="false">IF(H79="","",IFERROR(VLOOKUP(H79*1,COURBE!$B$8:$N$27,IF(F79="ESTER",7,8),0),0))</f>
        <v/>
      </c>
      <c r="N79" s="49" t="str">
        <f aca="false">IF(L79="","",IF(G79="PAY",M79-L79,L79-M79))</f>
        <v/>
      </c>
      <c r="O79" s="50" t="str">
        <f aca="false">IF(H79="","",IF(G79="PAY",-1,1)*I79*1000000*H79/10000)</f>
        <v/>
      </c>
      <c r="P79" s="50" t="str">
        <f aca="false">IF(H79="","",I79*1000000*L79*H79/10000)</f>
        <v/>
      </c>
      <c r="Q79" s="51" t="str">
        <f aca="false">IF(O79="","",O79)</f>
        <v/>
      </c>
      <c r="R79" s="50" t="str">
        <f aca="false">IF(L79="","",IF(G79="PAY",(M79-L79),-( M79-L79))*I79*1000000/365)</f>
        <v/>
      </c>
      <c r="S79" s="49" t="str">
        <f aca="false">IF(H79="","",IFERROR((VLOOKUP(H79*1,COURBE!$B$8:$N$27,IF(F79="ESTER",7,8),0)-VLOOKUP(MAX(H79-1,1),COURBE!$B$8:$N$27,IF(F79="ESTER",7,8),0))*10000,0))</f>
        <v/>
      </c>
      <c r="T79" s="50" t="str">
        <f aca="false">IF(R79="","",R79*90+IF(S79="",0,S79)*I79*1000000/10000*H79/365)</f>
        <v/>
      </c>
      <c r="U79" s="52" t="str">
        <f aca="false">IF(L79="","",O79*(M79-L79)*10000)</f>
        <v/>
      </c>
      <c r="V79" s="50" t="str">
        <f aca="false">IF(O79="","",0)</f>
        <v/>
      </c>
      <c r="W79" s="54"/>
    </row>
    <row r="80" customFormat="false" ht="18.75" hidden="false" customHeight="true" outlineLevel="0" collapsed="false">
      <c r="A80" s="47" t="n">
        <v>73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32" t="str">
        <f aca="false">IF(J80="","",J80/100)</f>
        <v/>
      </c>
      <c r="M80" s="32" t="str">
        <f aca="false">IF(H80="","",IFERROR(VLOOKUP(H80*1,COURBE!$B$8:$N$27,IF(F80="ESTER",7,8),0),0))</f>
        <v/>
      </c>
      <c r="N80" s="49" t="str">
        <f aca="false">IF(L80="","",IF(G80="PAY",M80-L80,L80-M80))</f>
        <v/>
      </c>
      <c r="O80" s="50" t="str">
        <f aca="false">IF(H80="","",IF(G80="PAY",-1,1)*I80*1000000*H80/10000)</f>
        <v/>
      </c>
      <c r="P80" s="50" t="str">
        <f aca="false">IF(H80="","",I80*1000000*L80*H80/10000)</f>
        <v/>
      </c>
      <c r="Q80" s="51" t="str">
        <f aca="false">IF(O80="","",O80)</f>
        <v/>
      </c>
      <c r="R80" s="50" t="str">
        <f aca="false">IF(L80="","",IF(G80="PAY",(M80-L80),-( M80-L80))*I80*1000000/365)</f>
        <v/>
      </c>
      <c r="S80" s="49" t="str">
        <f aca="false">IF(H80="","",IFERROR((VLOOKUP(H80*1,COURBE!$B$8:$N$27,IF(F80="ESTER",7,8),0)-VLOOKUP(MAX(H80-1,1),COURBE!$B$8:$N$27,IF(F80="ESTER",7,8),0))*10000,0))</f>
        <v/>
      </c>
      <c r="T80" s="50" t="str">
        <f aca="false">IF(R80="","",R80*90+IF(S80="",0,S80)*I80*1000000/10000*H80/365)</f>
        <v/>
      </c>
      <c r="U80" s="52" t="str">
        <f aca="false">IF(L80="","",O80*(M80-L80)*10000)</f>
        <v/>
      </c>
      <c r="V80" s="50" t="str">
        <f aca="false">IF(O80="","",0)</f>
        <v/>
      </c>
      <c r="W80" s="53"/>
    </row>
    <row r="81" customFormat="false" ht="18.75" hidden="false" customHeight="true" outlineLevel="0" collapsed="false">
      <c r="A81" s="47" t="n">
        <v>74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32" t="str">
        <f aca="false">IF(J81="","",J81/100)</f>
        <v/>
      </c>
      <c r="M81" s="32" t="str">
        <f aca="false">IF(H81="","",IFERROR(VLOOKUP(H81*1,COURBE!$B$8:$N$27,IF(F81="ESTER",7,8),0),0))</f>
        <v/>
      </c>
      <c r="N81" s="49" t="str">
        <f aca="false">IF(L81="","",IF(G81="PAY",M81-L81,L81-M81))</f>
        <v/>
      </c>
      <c r="O81" s="50" t="str">
        <f aca="false">IF(H81="","",IF(G81="PAY",-1,1)*I81*1000000*H81/10000)</f>
        <v/>
      </c>
      <c r="P81" s="50" t="str">
        <f aca="false">IF(H81="","",I81*1000000*L81*H81/10000)</f>
        <v/>
      </c>
      <c r="Q81" s="51" t="str">
        <f aca="false">IF(O81="","",O81)</f>
        <v/>
      </c>
      <c r="R81" s="50" t="str">
        <f aca="false">IF(L81="","",IF(G81="PAY",(M81-L81),-( M81-L81))*I81*1000000/365)</f>
        <v/>
      </c>
      <c r="S81" s="49" t="str">
        <f aca="false">IF(H81="","",IFERROR((VLOOKUP(H81*1,COURBE!$B$8:$N$27,IF(F81="ESTER",7,8),0)-VLOOKUP(MAX(H81-1,1),COURBE!$B$8:$N$27,IF(F81="ESTER",7,8),0))*10000,0))</f>
        <v/>
      </c>
      <c r="T81" s="50" t="str">
        <f aca="false">IF(R81="","",R81*90+IF(S81="",0,S81)*I81*1000000/10000*H81/365)</f>
        <v/>
      </c>
      <c r="U81" s="52" t="str">
        <f aca="false">IF(L81="","",O81*(M81-L81)*10000)</f>
        <v/>
      </c>
      <c r="V81" s="50" t="str">
        <f aca="false">IF(O81="","",0)</f>
        <v/>
      </c>
      <c r="W81" s="54"/>
    </row>
    <row r="82" customFormat="false" ht="18.75" hidden="false" customHeight="true" outlineLevel="0" collapsed="false">
      <c r="A82" s="47" t="n">
        <v>75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32" t="str">
        <f aca="false">IF(J82="","",J82/100)</f>
        <v/>
      </c>
      <c r="M82" s="32" t="str">
        <f aca="false">IF(H82="","",IFERROR(VLOOKUP(H82*1,COURBE!$B$8:$N$27,IF(F82="ESTER",7,8),0),0))</f>
        <v/>
      </c>
      <c r="N82" s="49" t="str">
        <f aca="false">IF(L82="","",IF(G82="PAY",M82-L82,L82-M82))</f>
        <v/>
      </c>
      <c r="O82" s="50" t="str">
        <f aca="false">IF(H82="","",IF(G82="PAY",-1,1)*I82*1000000*H82/10000)</f>
        <v/>
      </c>
      <c r="P82" s="50" t="str">
        <f aca="false">IF(H82="","",I82*1000000*L82*H82/10000)</f>
        <v/>
      </c>
      <c r="Q82" s="51" t="str">
        <f aca="false">IF(O82="","",O82)</f>
        <v/>
      </c>
      <c r="R82" s="50" t="str">
        <f aca="false">IF(L82="","",IF(G82="PAY",(M82-L82),-( M82-L82))*I82*1000000/365)</f>
        <v/>
      </c>
      <c r="S82" s="49" t="str">
        <f aca="false">IF(H82="","",IFERROR((VLOOKUP(H82*1,COURBE!$B$8:$N$27,IF(F82="ESTER",7,8),0)-VLOOKUP(MAX(H82-1,1),COURBE!$B$8:$N$27,IF(F82="ESTER",7,8),0))*10000,0))</f>
        <v/>
      </c>
      <c r="T82" s="50" t="str">
        <f aca="false">IF(R82="","",R82*90+IF(S82="",0,S82)*I82*1000000/10000*H82/365)</f>
        <v/>
      </c>
      <c r="U82" s="52" t="str">
        <f aca="false">IF(L82="","",O82*(M82-L82)*10000)</f>
        <v/>
      </c>
      <c r="V82" s="50" t="str">
        <f aca="false">IF(O82="","",0)</f>
        <v/>
      </c>
      <c r="W82" s="53"/>
    </row>
    <row r="83" customFormat="false" ht="18.75" hidden="false" customHeight="true" outlineLevel="0" collapsed="false">
      <c r="A83" s="47" t="n">
        <v>76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32" t="str">
        <f aca="false">IF(J83="","",J83/100)</f>
        <v/>
      </c>
      <c r="M83" s="32" t="str">
        <f aca="false">IF(H83="","",IFERROR(VLOOKUP(H83*1,COURBE!$B$8:$N$27,IF(F83="ESTER",7,8),0),0))</f>
        <v/>
      </c>
      <c r="N83" s="49" t="str">
        <f aca="false">IF(L83="","",IF(G83="PAY",M83-L83,L83-M83))</f>
        <v/>
      </c>
      <c r="O83" s="50" t="str">
        <f aca="false">IF(H83="","",IF(G83="PAY",-1,1)*I83*1000000*H83/10000)</f>
        <v/>
      </c>
      <c r="P83" s="50" t="str">
        <f aca="false">IF(H83="","",I83*1000000*L83*H83/10000)</f>
        <v/>
      </c>
      <c r="Q83" s="51" t="str">
        <f aca="false">IF(O83="","",O83)</f>
        <v/>
      </c>
      <c r="R83" s="50" t="str">
        <f aca="false">IF(L83="","",IF(G83="PAY",(M83-L83),-( M83-L83))*I83*1000000/365)</f>
        <v/>
      </c>
      <c r="S83" s="49" t="str">
        <f aca="false">IF(H83="","",IFERROR((VLOOKUP(H83*1,COURBE!$B$8:$N$27,IF(F83="ESTER",7,8),0)-VLOOKUP(MAX(H83-1,1),COURBE!$B$8:$N$27,IF(F83="ESTER",7,8),0))*10000,0))</f>
        <v/>
      </c>
      <c r="T83" s="50" t="str">
        <f aca="false">IF(R83="","",R83*90+IF(S83="",0,S83)*I83*1000000/10000*H83/365)</f>
        <v/>
      </c>
      <c r="U83" s="52" t="str">
        <f aca="false">IF(L83="","",O83*(M83-L83)*10000)</f>
        <v/>
      </c>
      <c r="V83" s="50" t="str">
        <f aca="false">IF(O83="","",0)</f>
        <v/>
      </c>
      <c r="W83" s="54"/>
    </row>
    <row r="84" customFormat="false" ht="18.75" hidden="false" customHeight="true" outlineLevel="0" collapsed="false">
      <c r="A84" s="47" t="n">
        <v>77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32" t="str">
        <f aca="false">IF(J84="","",J84/100)</f>
        <v/>
      </c>
      <c r="M84" s="32" t="str">
        <f aca="false">IF(H84="","",IFERROR(VLOOKUP(H84*1,COURBE!$B$8:$N$27,IF(F84="ESTER",7,8),0),0))</f>
        <v/>
      </c>
      <c r="N84" s="49" t="str">
        <f aca="false">IF(L84="","",IF(G84="PAY",M84-L84,L84-M84))</f>
        <v/>
      </c>
      <c r="O84" s="50" t="str">
        <f aca="false">IF(H84="","",IF(G84="PAY",-1,1)*I84*1000000*H84/10000)</f>
        <v/>
      </c>
      <c r="P84" s="50" t="str">
        <f aca="false">IF(H84="","",I84*1000000*L84*H84/10000)</f>
        <v/>
      </c>
      <c r="Q84" s="51" t="str">
        <f aca="false">IF(O84="","",O84)</f>
        <v/>
      </c>
      <c r="R84" s="50" t="str">
        <f aca="false">IF(L84="","",IF(G84="PAY",(M84-L84),-( M84-L84))*I84*1000000/365)</f>
        <v/>
      </c>
      <c r="S84" s="49" t="str">
        <f aca="false">IF(H84="","",IFERROR((VLOOKUP(H84*1,COURBE!$B$8:$N$27,IF(F84="ESTER",7,8),0)-VLOOKUP(MAX(H84-1,1),COURBE!$B$8:$N$27,IF(F84="ESTER",7,8),0))*10000,0))</f>
        <v/>
      </c>
      <c r="T84" s="50" t="str">
        <f aca="false">IF(R84="","",R84*90+IF(S84="",0,S84)*I84*1000000/10000*H84/365)</f>
        <v/>
      </c>
      <c r="U84" s="52" t="str">
        <f aca="false">IF(L84="","",O84*(M84-L84)*10000)</f>
        <v/>
      </c>
      <c r="V84" s="50" t="str">
        <f aca="false">IF(O84="","",0)</f>
        <v/>
      </c>
      <c r="W84" s="53"/>
    </row>
    <row r="85" customFormat="false" ht="18.75" hidden="false" customHeight="true" outlineLevel="0" collapsed="false">
      <c r="A85" s="47" t="n">
        <v>78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32" t="str">
        <f aca="false">IF(J85="","",J85/100)</f>
        <v/>
      </c>
      <c r="M85" s="32" t="str">
        <f aca="false">IF(H85="","",IFERROR(VLOOKUP(H85*1,COURBE!$B$8:$N$27,IF(F85="ESTER",7,8),0),0))</f>
        <v/>
      </c>
      <c r="N85" s="49" t="str">
        <f aca="false">IF(L85="","",IF(G85="PAY",M85-L85,L85-M85))</f>
        <v/>
      </c>
      <c r="O85" s="50" t="str">
        <f aca="false">IF(H85="","",IF(G85="PAY",-1,1)*I85*1000000*H85/10000)</f>
        <v/>
      </c>
      <c r="P85" s="50" t="str">
        <f aca="false">IF(H85="","",I85*1000000*L85*H85/10000)</f>
        <v/>
      </c>
      <c r="Q85" s="51" t="str">
        <f aca="false">IF(O85="","",O85)</f>
        <v/>
      </c>
      <c r="R85" s="50" t="str">
        <f aca="false">IF(L85="","",IF(G85="PAY",(M85-L85),-( M85-L85))*I85*1000000/365)</f>
        <v/>
      </c>
      <c r="S85" s="49" t="str">
        <f aca="false">IF(H85="","",IFERROR((VLOOKUP(H85*1,COURBE!$B$8:$N$27,IF(F85="ESTER",7,8),0)-VLOOKUP(MAX(H85-1,1),COURBE!$B$8:$N$27,IF(F85="ESTER",7,8),0))*10000,0))</f>
        <v/>
      </c>
      <c r="T85" s="50" t="str">
        <f aca="false">IF(R85="","",R85*90+IF(S85="",0,S85)*I85*1000000/10000*H85/365)</f>
        <v/>
      </c>
      <c r="U85" s="52" t="str">
        <f aca="false">IF(L85="","",O85*(M85-L85)*10000)</f>
        <v/>
      </c>
      <c r="V85" s="50" t="str">
        <f aca="false">IF(O85="","",0)</f>
        <v/>
      </c>
      <c r="W85" s="54"/>
    </row>
    <row r="86" customFormat="false" ht="18.75" hidden="false" customHeight="true" outlineLevel="0" collapsed="false">
      <c r="A86" s="47" t="n">
        <v>79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32" t="str">
        <f aca="false">IF(J86="","",J86/100)</f>
        <v/>
      </c>
      <c r="M86" s="32" t="str">
        <f aca="false">IF(H86="","",IFERROR(VLOOKUP(H86*1,COURBE!$B$8:$N$27,IF(F86="ESTER",7,8),0),0))</f>
        <v/>
      </c>
      <c r="N86" s="49" t="str">
        <f aca="false">IF(L86="","",IF(G86="PAY",M86-L86,L86-M86))</f>
        <v/>
      </c>
      <c r="O86" s="50" t="str">
        <f aca="false">IF(H86="","",IF(G86="PAY",-1,1)*I86*1000000*H86/10000)</f>
        <v/>
      </c>
      <c r="P86" s="50" t="str">
        <f aca="false">IF(H86="","",I86*1000000*L86*H86/10000)</f>
        <v/>
      </c>
      <c r="Q86" s="51" t="str">
        <f aca="false">IF(O86="","",O86)</f>
        <v/>
      </c>
      <c r="R86" s="50" t="str">
        <f aca="false">IF(L86="","",IF(G86="PAY",(M86-L86),-( M86-L86))*I86*1000000/365)</f>
        <v/>
      </c>
      <c r="S86" s="49" t="str">
        <f aca="false">IF(H86="","",IFERROR((VLOOKUP(H86*1,COURBE!$B$8:$N$27,IF(F86="ESTER",7,8),0)-VLOOKUP(MAX(H86-1,1),COURBE!$B$8:$N$27,IF(F86="ESTER",7,8),0))*10000,0))</f>
        <v/>
      </c>
      <c r="T86" s="50" t="str">
        <f aca="false">IF(R86="","",R86*90+IF(S86="",0,S86)*I86*1000000/10000*H86/365)</f>
        <v/>
      </c>
      <c r="U86" s="52" t="str">
        <f aca="false">IF(L86="","",O86*(M86-L86)*10000)</f>
        <v/>
      </c>
      <c r="V86" s="50" t="str">
        <f aca="false">IF(O86="","",0)</f>
        <v/>
      </c>
      <c r="W86" s="53"/>
    </row>
    <row r="87" customFormat="false" ht="18.75" hidden="false" customHeight="true" outlineLevel="0" collapsed="false">
      <c r="A87" s="47" t="n">
        <v>80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32" t="str">
        <f aca="false">IF(J87="","",J87/100)</f>
        <v/>
      </c>
      <c r="M87" s="32" t="str">
        <f aca="false">IF(H87="","",IFERROR(VLOOKUP(H87*1,COURBE!$B$8:$N$27,IF(F87="ESTER",7,8),0),0))</f>
        <v/>
      </c>
      <c r="N87" s="49" t="str">
        <f aca="false">IF(L87="","",IF(G87="PAY",M87-L87,L87-M87))</f>
        <v/>
      </c>
      <c r="O87" s="50" t="str">
        <f aca="false">IF(H87="","",IF(G87="PAY",-1,1)*I87*1000000*H87/10000)</f>
        <v/>
      </c>
      <c r="P87" s="50" t="str">
        <f aca="false">IF(H87="","",I87*1000000*L87*H87/10000)</f>
        <v/>
      </c>
      <c r="Q87" s="51" t="str">
        <f aca="false">IF(O87="","",O87)</f>
        <v/>
      </c>
      <c r="R87" s="50" t="str">
        <f aca="false">IF(L87="","",IF(G87="PAY",(M87-L87),-( M87-L87))*I87*1000000/365)</f>
        <v/>
      </c>
      <c r="S87" s="49" t="str">
        <f aca="false">IF(H87="","",IFERROR((VLOOKUP(H87*1,COURBE!$B$8:$N$27,IF(F87="ESTER",7,8),0)-VLOOKUP(MAX(H87-1,1),COURBE!$B$8:$N$27,IF(F87="ESTER",7,8),0))*10000,0))</f>
        <v/>
      </c>
      <c r="T87" s="50" t="str">
        <f aca="false">IF(R87="","",R87*90+IF(S87="",0,S87)*I87*1000000/10000*H87/365)</f>
        <v/>
      </c>
      <c r="U87" s="52" t="str">
        <f aca="false">IF(L87="","",O87*(M87-L87)*10000)</f>
        <v/>
      </c>
      <c r="V87" s="50" t="str">
        <f aca="false">IF(O87="","",0)</f>
        <v/>
      </c>
      <c r="W87" s="54"/>
    </row>
    <row r="88" customFormat="false" ht="18.75" hidden="false" customHeight="true" outlineLevel="0" collapsed="false">
      <c r="A88" s="47" t="n">
        <v>81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32" t="str">
        <f aca="false">IF(J88="","",J88/100)</f>
        <v/>
      </c>
      <c r="M88" s="32" t="str">
        <f aca="false">IF(H88="","",IFERROR(VLOOKUP(H88*1,COURBE!$B$8:$N$27,IF(F88="ESTER",7,8),0),0))</f>
        <v/>
      </c>
      <c r="N88" s="49" t="str">
        <f aca="false">IF(L88="","",IF(G88="PAY",M88-L88,L88-M88))</f>
        <v/>
      </c>
      <c r="O88" s="50" t="str">
        <f aca="false">IF(H88="","",IF(G88="PAY",-1,1)*I88*1000000*H88/10000)</f>
        <v/>
      </c>
      <c r="P88" s="50" t="str">
        <f aca="false">IF(H88="","",I88*1000000*L88*H88/10000)</f>
        <v/>
      </c>
      <c r="Q88" s="51" t="str">
        <f aca="false">IF(O88="","",O88)</f>
        <v/>
      </c>
      <c r="R88" s="50" t="str">
        <f aca="false">IF(L88="","",IF(G88="PAY",(M88-L88),-( M88-L88))*I88*1000000/365)</f>
        <v/>
      </c>
      <c r="S88" s="49" t="str">
        <f aca="false">IF(H88="","",IFERROR((VLOOKUP(H88*1,COURBE!$B$8:$N$27,IF(F88="ESTER",7,8),0)-VLOOKUP(MAX(H88-1,1),COURBE!$B$8:$N$27,IF(F88="ESTER",7,8),0))*10000,0))</f>
        <v/>
      </c>
      <c r="T88" s="50" t="str">
        <f aca="false">IF(R88="","",R88*90+IF(S88="",0,S88)*I88*1000000/10000*H88/365)</f>
        <v/>
      </c>
      <c r="U88" s="52" t="str">
        <f aca="false">IF(L88="","",O88*(M88-L88)*10000)</f>
        <v/>
      </c>
      <c r="V88" s="50" t="str">
        <f aca="false">IF(O88="","",0)</f>
        <v/>
      </c>
      <c r="W88" s="53"/>
    </row>
    <row r="89" customFormat="false" ht="18.75" hidden="false" customHeight="true" outlineLevel="0" collapsed="false">
      <c r="A89" s="47" t="n">
        <v>82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32" t="str">
        <f aca="false">IF(J89="","",J89/100)</f>
        <v/>
      </c>
      <c r="M89" s="32" t="str">
        <f aca="false">IF(H89="","",IFERROR(VLOOKUP(H89*1,COURBE!$B$8:$N$27,IF(F89="ESTER",7,8),0),0))</f>
        <v/>
      </c>
      <c r="N89" s="49" t="str">
        <f aca="false">IF(L89="","",IF(G89="PAY",M89-L89,L89-M89))</f>
        <v/>
      </c>
      <c r="O89" s="50" t="str">
        <f aca="false">IF(H89="","",IF(G89="PAY",-1,1)*I89*1000000*H89/10000)</f>
        <v/>
      </c>
      <c r="P89" s="50" t="str">
        <f aca="false">IF(H89="","",I89*1000000*L89*H89/10000)</f>
        <v/>
      </c>
      <c r="Q89" s="51" t="str">
        <f aca="false">IF(O89="","",O89)</f>
        <v/>
      </c>
      <c r="R89" s="50" t="str">
        <f aca="false">IF(L89="","",IF(G89="PAY",(M89-L89),-( M89-L89))*I89*1000000/365)</f>
        <v/>
      </c>
      <c r="S89" s="49" t="str">
        <f aca="false">IF(H89="","",IFERROR((VLOOKUP(H89*1,COURBE!$B$8:$N$27,IF(F89="ESTER",7,8),0)-VLOOKUP(MAX(H89-1,1),COURBE!$B$8:$N$27,IF(F89="ESTER",7,8),0))*10000,0))</f>
        <v/>
      </c>
      <c r="T89" s="50" t="str">
        <f aca="false">IF(R89="","",R89*90+IF(S89="",0,S89)*I89*1000000/10000*H89/365)</f>
        <v/>
      </c>
      <c r="U89" s="52" t="str">
        <f aca="false">IF(L89="","",O89*(M89-L89)*10000)</f>
        <v/>
      </c>
      <c r="V89" s="50" t="str">
        <f aca="false">IF(O89="","",0)</f>
        <v/>
      </c>
      <c r="W89" s="54"/>
    </row>
    <row r="90" customFormat="false" ht="18.75" hidden="false" customHeight="true" outlineLevel="0" collapsed="false">
      <c r="A90" s="47" t="n">
        <v>83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32" t="str">
        <f aca="false">IF(J90="","",J90/100)</f>
        <v/>
      </c>
      <c r="M90" s="32" t="str">
        <f aca="false">IF(H90="","",IFERROR(VLOOKUP(H90*1,COURBE!$B$8:$N$27,IF(F90="ESTER",7,8),0),0))</f>
        <v/>
      </c>
      <c r="N90" s="49" t="str">
        <f aca="false">IF(L90="","",IF(G90="PAY",M90-L90,L90-M90))</f>
        <v/>
      </c>
      <c r="O90" s="50" t="str">
        <f aca="false">IF(H90="","",IF(G90="PAY",-1,1)*I90*1000000*H90/10000)</f>
        <v/>
      </c>
      <c r="P90" s="50" t="str">
        <f aca="false">IF(H90="","",I90*1000000*L90*H90/10000)</f>
        <v/>
      </c>
      <c r="Q90" s="51" t="str">
        <f aca="false">IF(O90="","",O90)</f>
        <v/>
      </c>
      <c r="R90" s="50" t="str">
        <f aca="false">IF(L90="","",IF(G90="PAY",(M90-L90),-( M90-L90))*I90*1000000/365)</f>
        <v/>
      </c>
      <c r="S90" s="49" t="str">
        <f aca="false">IF(H90="","",IFERROR((VLOOKUP(H90*1,COURBE!$B$8:$N$27,IF(F90="ESTER",7,8),0)-VLOOKUP(MAX(H90-1,1),COURBE!$B$8:$N$27,IF(F90="ESTER",7,8),0))*10000,0))</f>
        <v/>
      </c>
      <c r="T90" s="50" t="str">
        <f aca="false">IF(R90="","",R90*90+IF(S90="",0,S90)*I90*1000000/10000*H90/365)</f>
        <v/>
      </c>
      <c r="U90" s="52" t="str">
        <f aca="false">IF(L90="","",O90*(M90-L90)*10000)</f>
        <v/>
      </c>
      <c r="V90" s="50" t="str">
        <f aca="false">IF(O90="","",0)</f>
        <v/>
      </c>
      <c r="W90" s="53"/>
    </row>
    <row r="91" customFormat="false" ht="18.75" hidden="false" customHeight="true" outlineLevel="0" collapsed="false">
      <c r="A91" s="47" t="n">
        <v>84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32" t="str">
        <f aca="false">IF(J91="","",J91/100)</f>
        <v/>
      </c>
      <c r="M91" s="32" t="str">
        <f aca="false">IF(H91="","",IFERROR(VLOOKUP(H91*1,COURBE!$B$8:$N$27,IF(F91="ESTER",7,8),0),0))</f>
        <v/>
      </c>
      <c r="N91" s="49" t="str">
        <f aca="false">IF(L91="","",IF(G91="PAY",M91-L91,L91-M91))</f>
        <v/>
      </c>
      <c r="O91" s="50" t="str">
        <f aca="false">IF(H91="","",IF(G91="PAY",-1,1)*I91*1000000*H91/10000)</f>
        <v/>
      </c>
      <c r="P91" s="50" t="str">
        <f aca="false">IF(H91="","",I91*1000000*L91*H91/10000)</f>
        <v/>
      </c>
      <c r="Q91" s="51" t="str">
        <f aca="false">IF(O91="","",O91)</f>
        <v/>
      </c>
      <c r="R91" s="50" t="str">
        <f aca="false">IF(L91="","",IF(G91="PAY",(M91-L91),-( M91-L91))*I91*1000000/365)</f>
        <v/>
      </c>
      <c r="S91" s="49" t="str">
        <f aca="false">IF(H91="","",IFERROR((VLOOKUP(H91*1,COURBE!$B$8:$N$27,IF(F91="ESTER",7,8),0)-VLOOKUP(MAX(H91-1,1),COURBE!$B$8:$N$27,IF(F91="ESTER",7,8),0))*10000,0))</f>
        <v/>
      </c>
      <c r="T91" s="50" t="str">
        <f aca="false">IF(R91="","",R91*90+IF(S91="",0,S91)*I91*1000000/10000*H91/365)</f>
        <v/>
      </c>
      <c r="U91" s="52" t="str">
        <f aca="false">IF(L91="","",O91*(M91-L91)*10000)</f>
        <v/>
      </c>
      <c r="V91" s="50" t="str">
        <f aca="false">IF(O91="","",0)</f>
        <v/>
      </c>
      <c r="W91" s="54"/>
    </row>
    <row r="92" customFormat="false" ht="18.75" hidden="false" customHeight="true" outlineLevel="0" collapsed="false">
      <c r="A92" s="47" t="n">
        <v>85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32" t="str">
        <f aca="false">IF(J92="","",J92/100)</f>
        <v/>
      </c>
      <c r="M92" s="32" t="str">
        <f aca="false">IF(H92="","",IFERROR(VLOOKUP(H92*1,COURBE!$B$8:$N$27,IF(F92="ESTER",7,8),0),0))</f>
        <v/>
      </c>
      <c r="N92" s="49" t="str">
        <f aca="false">IF(L92="","",IF(G92="PAY",M92-L92,L92-M92))</f>
        <v/>
      </c>
      <c r="O92" s="50" t="str">
        <f aca="false">IF(H92="","",IF(G92="PAY",-1,1)*I92*1000000*H92/10000)</f>
        <v/>
      </c>
      <c r="P92" s="50" t="str">
        <f aca="false">IF(H92="","",I92*1000000*L92*H92/10000)</f>
        <v/>
      </c>
      <c r="Q92" s="51" t="str">
        <f aca="false">IF(O92="","",O92)</f>
        <v/>
      </c>
      <c r="R92" s="50" t="str">
        <f aca="false">IF(L92="","",IF(G92="PAY",(M92-L92),-( M92-L92))*I92*1000000/365)</f>
        <v/>
      </c>
      <c r="S92" s="49" t="str">
        <f aca="false">IF(H92="","",IFERROR((VLOOKUP(H92*1,COURBE!$B$8:$N$27,IF(F92="ESTER",7,8),0)-VLOOKUP(MAX(H92-1,1),COURBE!$B$8:$N$27,IF(F92="ESTER",7,8),0))*10000,0))</f>
        <v/>
      </c>
      <c r="T92" s="50" t="str">
        <f aca="false">IF(R92="","",R92*90+IF(S92="",0,S92)*I92*1000000/10000*H92/365)</f>
        <v/>
      </c>
      <c r="U92" s="52" t="str">
        <f aca="false">IF(L92="","",O92*(M92-L92)*10000)</f>
        <v/>
      </c>
      <c r="V92" s="50" t="str">
        <f aca="false">IF(O92="","",0)</f>
        <v/>
      </c>
      <c r="W92" s="53"/>
    </row>
    <row r="93" customFormat="false" ht="18.75" hidden="false" customHeight="true" outlineLevel="0" collapsed="false">
      <c r="A93" s="47" t="n">
        <v>86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32" t="str">
        <f aca="false">IF(J93="","",J93/100)</f>
        <v/>
      </c>
      <c r="M93" s="32" t="str">
        <f aca="false">IF(H93="","",IFERROR(VLOOKUP(H93*1,COURBE!$B$8:$N$27,IF(F93="ESTER",7,8),0),0))</f>
        <v/>
      </c>
      <c r="N93" s="49" t="str">
        <f aca="false">IF(L93="","",IF(G93="PAY",M93-L93,L93-M93))</f>
        <v/>
      </c>
      <c r="O93" s="50" t="str">
        <f aca="false">IF(H93="","",IF(G93="PAY",-1,1)*I93*1000000*H93/10000)</f>
        <v/>
      </c>
      <c r="P93" s="50" t="str">
        <f aca="false">IF(H93="","",I93*1000000*L93*H93/10000)</f>
        <v/>
      </c>
      <c r="Q93" s="51" t="str">
        <f aca="false">IF(O93="","",O93)</f>
        <v/>
      </c>
      <c r="R93" s="50" t="str">
        <f aca="false">IF(L93="","",IF(G93="PAY",(M93-L93),-( M93-L93))*I93*1000000/365)</f>
        <v/>
      </c>
      <c r="S93" s="49" t="str">
        <f aca="false">IF(H93="","",IFERROR((VLOOKUP(H93*1,COURBE!$B$8:$N$27,IF(F93="ESTER",7,8),0)-VLOOKUP(MAX(H93-1,1),COURBE!$B$8:$N$27,IF(F93="ESTER",7,8),0))*10000,0))</f>
        <v/>
      </c>
      <c r="T93" s="50" t="str">
        <f aca="false">IF(R93="","",R93*90+IF(S93="",0,S93)*I93*1000000/10000*H93/365)</f>
        <v/>
      </c>
      <c r="U93" s="52" t="str">
        <f aca="false">IF(L93="","",O93*(M93-L93)*10000)</f>
        <v/>
      </c>
      <c r="V93" s="50" t="str">
        <f aca="false">IF(O93="","",0)</f>
        <v/>
      </c>
      <c r="W93" s="54"/>
    </row>
    <row r="94" customFormat="false" ht="18.75" hidden="false" customHeight="true" outlineLevel="0" collapsed="false">
      <c r="A94" s="47" t="n">
        <v>87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32" t="str">
        <f aca="false">IF(J94="","",J94/100)</f>
        <v/>
      </c>
      <c r="M94" s="32" t="str">
        <f aca="false">IF(H94="","",IFERROR(VLOOKUP(H94*1,COURBE!$B$8:$N$27,IF(F94="ESTER",7,8),0),0))</f>
        <v/>
      </c>
      <c r="N94" s="49" t="str">
        <f aca="false">IF(L94="","",IF(G94="PAY",M94-L94,L94-M94))</f>
        <v/>
      </c>
      <c r="O94" s="50" t="str">
        <f aca="false">IF(H94="","",IF(G94="PAY",-1,1)*I94*1000000*H94/10000)</f>
        <v/>
      </c>
      <c r="P94" s="50" t="str">
        <f aca="false">IF(H94="","",I94*1000000*L94*H94/10000)</f>
        <v/>
      </c>
      <c r="Q94" s="51" t="str">
        <f aca="false">IF(O94="","",O94)</f>
        <v/>
      </c>
      <c r="R94" s="50" t="str">
        <f aca="false">IF(L94="","",IF(G94="PAY",(M94-L94),-( M94-L94))*I94*1000000/365)</f>
        <v/>
      </c>
      <c r="S94" s="49" t="str">
        <f aca="false">IF(H94="","",IFERROR((VLOOKUP(H94*1,COURBE!$B$8:$N$27,IF(F94="ESTER",7,8),0)-VLOOKUP(MAX(H94-1,1),COURBE!$B$8:$N$27,IF(F94="ESTER",7,8),0))*10000,0))</f>
        <v/>
      </c>
      <c r="T94" s="50" t="str">
        <f aca="false">IF(R94="","",R94*90+IF(S94="",0,S94)*I94*1000000/10000*H94/365)</f>
        <v/>
      </c>
      <c r="U94" s="52" t="str">
        <f aca="false">IF(L94="","",O94*(M94-L94)*10000)</f>
        <v/>
      </c>
      <c r="V94" s="50" t="str">
        <f aca="false">IF(O94="","",0)</f>
        <v/>
      </c>
      <c r="W94" s="53"/>
    </row>
    <row r="95" customFormat="false" ht="18.75" hidden="false" customHeight="true" outlineLevel="0" collapsed="false">
      <c r="A95" s="47" t="n">
        <v>88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32" t="str">
        <f aca="false">IF(J95="","",J95/100)</f>
        <v/>
      </c>
      <c r="M95" s="32" t="str">
        <f aca="false">IF(H95="","",IFERROR(VLOOKUP(H95*1,COURBE!$B$8:$N$27,IF(F95="ESTER",7,8),0),0))</f>
        <v/>
      </c>
      <c r="N95" s="49" t="str">
        <f aca="false">IF(L95="","",IF(G95="PAY",M95-L95,L95-M95))</f>
        <v/>
      </c>
      <c r="O95" s="50" t="str">
        <f aca="false">IF(H95="","",IF(G95="PAY",-1,1)*I95*1000000*H95/10000)</f>
        <v/>
      </c>
      <c r="P95" s="50" t="str">
        <f aca="false">IF(H95="","",I95*1000000*L95*H95/10000)</f>
        <v/>
      </c>
      <c r="Q95" s="51" t="str">
        <f aca="false">IF(O95="","",O95)</f>
        <v/>
      </c>
      <c r="R95" s="50" t="str">
        <f aca="false">IF(L95="","",IF(G95="PAY",(M95-L95),-( M95-L95))*I95*1000000/365)</f>
        <v/>
      </c>
      <c r="S95" s="49" t="str">
        <f aca="false">IF(H95="","",IFERROR((VLOOKUP(H95*1,COURBE!$B$8:$N$27,IF(F95="ESTER",7,8),0)-VLOOKUP(MAX(H95-1,1),COURBE!$B$8:$N$27,IF(F95="ESTER",7,8),0))*10000,0))</f>
        <v/>
      </c>
      <c r="T95" s="50" t="str">
        <f aca="false">IF(R95="","",R95*90+IF(S95="",0,S95)*I95*1000000/10000*H95/365)</f>
        <v/>
      </c>
      <c r="U95" s="52" t="str">
        <f aca="false">IF(L95="","",O95*(M95-L95)*10000)</f>
        <v/>
      </c>
      <c r="V95" s="50" t="str">
        <f aca="false">IF(O95="","",0)</f>
        <v/>
      </c>
      <c r="W95" s="54"/>
    </row>
    <row r="96" customFormat="false" ht="18.75" hidden="false" customHeight="true" outlineLevel="0" collapsed="false">
      <c r="A96" s="47" t="n">
        <v>89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32" t="str">
        <f aca="false">IF(J96="","",J96/100)</f>
        <v/>
      </c>
      <c r="M96" s="32" t="str">
        <f aca="false">IF(H96="","",IFERROR(VLOOKUP(H96*1,COURBE!$B$8:$N$27,IF(F96="ESTER",7,8),0),0))</f>
        <v/>
      </c>
      <c r="N96" s="49" t="str">
        <f aca="false">IF(L96="","",IF(G96="PAY",M96-L96,L96-M96))</f>
        <v/>
      </c>
      <c r="O96" s="50" t="str">
        <f aca="false">IF(H96="","",IF(G96="PAY",-1,1)*I96*1000000*H96/10000)</f>
        <v/>
      </c>
      <c r="P96" s="50" t="str">
        <f aca="false">IF(H96="","",I96*1000000*L96*H96/10000)</f>
        <v/>
      </c>
      <c r="Q96" s="51" t="str">
        <f aca="false">IF(O96="","",O96)</f>
        <v/>
      </c>
      <c r="R96" s="50" t="str">
        <f aca="false">IF(L96="","",IF(G96="PAY",(M96-L96),-( M96-L96))*I96*1000000/365)</f>
        <v/>
      </c>
      <c r="S96" s="49" t="str">
        <f aca="false">IF(H96="","",IFERROR((VLOOKUP(H96*1,COURBE!$B$8:$N$27,IF(F96="ESTER",7,8),0)-VLOOKUP(MAX(H96-1,1),COURBE!$B$8:$N$27,IF(F96="ESTER",7,8),0))*10000,0))</f>
        <v/>
      </c>
      <c r="T96" s="50" t="str">
        <f aca="false">IF(R96="","",R96*90+IF(S96="",0,S96)*I96*1000000/10000*H96/365)</f>
        <v/>
      </c>
      <c r="U96" s="52" t="str">
        <f aca="false">IF(L96="","",O96*(M96-L96)*10000)</f>
        <v/>
      </c>
      <c r="V96" s="50" t="str">
        <f aca="false">IF(O96="","",0)</f>
        <v/>
      </c>
      <c r="W96" s="53"/>
    </row>
    <row r="97" customFormat="false" ht="18.75" hidden="false" customHeight="true" outlineLevel="0" collapsed="false">
      <c r="A97" s="47" t="n">
        <v>90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32" t="str">
        <f aca="false">IF(J97="","",J97/100)</f>
        <v/>
      </c>
      <c r="M97" s="32" t="str">
        <f aca="false">IF(H97="","",IFERROR(VLOOKUP(H97*1,COURBE!$B$8:$N$27,IF(F97="ESTER",7,8),0),0))</f>
        <v/>
      </c>
      <c r="N97" s="49" t="str">
        <f aca="false">IF(L97="","",IF(G97="PAY",M97-L97,L97-M97))</f>
        <v/>
      </c>
      <c r="O97" s="50" t="str">
        <f aca="false">IF(H97="","",IF(G97="PAY",-1,1)*I97*1000000*H97/10000)</f>
        <v/>
      </c>
      <c r="P97" s="50" t="str">
        <f aca="false">IF(H97="","",I97*1000000*L97*H97/10000)</f>
        <v/>
      </c>
      <c r="Q97" s="51" t="str">
        <f aca="false">IF(O97="","",O97)</f>
        <v/>
      </c>
      <c r="R97" s="50" t="str">
        <f aca="false">IF(L97="","",IF(G97="PAY",(M97-L97),-( M97-L97))*I97*1000000/365)</f>
        <v/>
      </c>
      <c r="S97" s="49" t="str">
        <f aca="false">IF(H97="","",IFERROR((VLOOKUP(H97*1,COURBE!$B$8:$N$27,IF(F97="ESTER",7,8),0)-VLOOKUP(MAX(H97-1,1),COURBE!$B$8:$N$27,IF(F97="ESTER",7,8),0))*10000,0))</f>
        <v/>
      </c>
      <c r="T97" s="50" t="str">
        <f aca="false">IF(R97="","",R97*90+IF(S97="",0,S97)*I97*1000000/10000*H97/365)</f>
        <v/>
      </c>
      <c r="U97" s="52" t="str">
        <f aca="false">IF(L97="","",O97*(M97-L97)*10000)</f>
        <v/>
      </c>
      <c r="V97" s="50" t="str">
        <f aca="false">IF(O97="","",0)</f>
        <v/>
      </c>
      <c r="W97" s="54"/>
    </row>
    <row r="98" customFormat="false" ht="18.75" hidden="false" customHeight="true" outlineLevel="0" collapsed="false">
      <c r="A98" s="47" t="n">
        <v>91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32" t="str">
        <f aca="false">IF(J98="","",J98/100)</f>
        <v/>
      </c>
      <c r="M98" s="32" t="str">
        <f aca="false">IF(H98="","",IFERROR(VLOOKUP(H98*1,COURBE!$B$8:$N$27,IF(F98="ESTER",7,8),0),0))</f>
        <v/>
      </c>
      <c r="N98" s="49" t="str">
        <f aca="false">IF(L98="","",IF(G98="PAY",M98-L98,L98-M98))</f>
        <v/>
      </c>
      <c r="O98" s="50" t="str">
        <f aca="false">IF(H98="","",IF(G98="PAY",-1,1)*I98*1000000*H98/10000)</f>
        <v/>
      </c>
      <c r="P98" s="50" t="str">
        <f aca="false">IF(H98="","",I98*1000000*L98*H98/10000)</f>
        <v/>
      </c>
      <c r="Q98" s="51" t="str">
        <f aca="false">IF(O98="","",O98)</f>
        <v/>
      </c>
      <c r="R98" s="50" t="str">
        <f aca="false">IF(L98="","",IF(G98="PAY",(M98-L98),-( M98-L98))*I98*1000000/365)</f>
        <v/>
      </c>
      <c r="S98" s="49" t="str">
        <f aca="false">IF(H98="","",IFERROR((VLOOKUP(H98*1,COURBE!$B$8:$N$27,IF(F98="ESTER",7,8),0)-VLOOKUP(MAX(H98-1,1),COURBE!$B$8:$N$27,IF(F98="ESTER",7,8),0))*10000,0))</f>
        <v/>
      </c>
      <c r="T98" s="50" t="str">
        <f aca="false">IF(R98="","",R98*90+IF(S98="",0,S98)*I98*1000000/10000*H98/365)</f>
        <v/>
      </c>
      <c r="U98" s="52" t="str">
        <f aca="false">IF(L98="","",O98*(M98-L98)*10000)</f>
        <v/>
      </c>
      <c r="V98" s="50" t="str">
        <f aca="false">IF(O98="","",0)</f>
        <v/>
      </c>
      <c r="W98" s="53"/>
    </row>
    <row r="99" customFormat="false" ht="18.75" hidden="false" customHeight="true" outlineLevel="0" collapsed="false">
      <c r="A99" s="47" t="n">
        <v>92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32" t="str">
        <f aca="false">IF(J99="","",J99/100)</f>
        <v/>
      </c>
      <c r="M99" s="32" t="str">
        <f aca="false">IF(H99="","",IFERROR(VLOOKUP(H99*1,COURBE!$B$8:$N$27,IF(F99="ESTER",7,8),0),0))</f>
        <v/>
      </c>
      <c r="N99" s="49" t="str">
        <f aca="false">IF(L99="","",IF(G99="PAY",M99-L99,L99-M99))</f>
        <v/>
      </c>
      <c r="O99" s="50" t="str">
        <f aca="false">IF(H99="","",IF(G99="PAY",-1,1)*I99*1000000*H99/10000)</f>
        <v/>
      </c>
      <c r="P99" s="50" t="str">
        <f aca="false">IF(H99="","",I99*1000000*L99*H99/10000)</f>
        <v/>
      </c>
      <c r="Q99" s="51" t="str">
        <f aca="false">IF(O99="","",O99)</f>
        <v/>
      </c>
      <c r="R99" s="50" t="str">
        <f aca="false">IF(L99="","",IF(G99="PAY",(M99-L99),-( M99-L99))*I99*1000000/365)</f>
        <v/>
      </c>
      <c r="S99" s="49" t="str">
        <f aca="false">IF(H99="","",IFERROR((VLOOKUP(H99*1,COURBE!$B$8:$N$27,IF(F99="ESTER",7,8),0)-VLOOKUP(MAX(H99-1,1),COURBE!$B$8:$N$27,IF(F99="ESTER",7,8),0))*10000,0))</f>
        <v/>
      </c>
      <c r="T99" s="50" t="str">
        <f aca="false">IF(R99="","",R99*90+IF(S99="",0,S99)*I99*1000000/10000*H99/365)</f>
        <v/>
      </c>
      <c r="U99" s="52" t="str">
        <f aca="false">IF(L99="","",O99*(M99-L99)*10000)</f>
        <v/>
      </c>
      <c r="V99" s="50" t="str">
        <f aca="false">IF(O99="","",0)</f>
        <v/>
      </c>
      <c r="W99" s="54"/>
    </row>
    <row r="100" customFormat="false" ht="18.75" hidden="false" customHeight="true" outlineLevel="0" collapsed="false">
      <c r="A100" s="47" t="n">
        <v>93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32" t="str">
        <f aca="false">IF(J100="","",J100/100)</f>
        <v/>
      </c>
      <c r="M100" s="32" t="str">
        <f aca="false">IF(H100="","",IFERROR(VLOOKUP(H100*1,COURBE!$B$8:$N$27,IF(F100="ESTER",7,8),0),0))</f>
        <v/>
      </c>
      <c r="N100" s="49" t="str">
        <f aca="false">IF(L100="","",IF(G100="PAY",M100-L100,L100-M100))</f>
        <v/>
      </c>
      <c r="O100" s="50" t="str">
        <f aca="false">IF(H100="","",IF(G100="PAY",-1,1)*I100*1000000*H100/10000)</f>
        <v/>
      </c>
      <c r="P100" s="50" t="str">
        <f aca="false">IF(H100="","",I100*1000000*L100*H100/10000)</f>
        <v/>
      </c>
      <c r="Q100" s="51" t="str">
        <f aca="false">IF(O100="","",O100)</f>
        <v/>
      </c>
      <c r="R100" s="50" t="str">
        <f aca="false">IF(L100="","",IF(G100="PAY",(M100-L100),-( M100-L100))*I100*1000000/365)</f>
        <v/>
      </c>
      <c r="S100" s="49" t="str">
        <f aca="false">IF(H100="","",IFERROR((VLOOKUP(H100*1,COURBE!$B$8:$N$27,IF(F100="ESTER",7,8),0)-VLOOKUP(MAX(H100-1,1),COURBE!$B$8:$N$27,IF(F100="ESTER",7,8),0))*10000,0))</f>
        <v/>
      </c>
      <c r="T100" s="50" t="str">
        <f aca="false">IF(R100="","",R100*90+IF(S100="",0,S100)*I100*1000000/10000*H100/365)</f>
        <v/>
      </c>
      <c r="U100" s="52" t="str">
        <f aca="false">IF(L100="","",O100*(M100-L100)*10000)</f>
        <v/>
      </c>
      <c r="V100" s="50" t="str">
        <f aca="false">IF(O100="","",0)</f>
        <v/>
      </c>
      <c r="W100" s="53"/>
    </row>
    <row r="101" customFormat="false" ht="18.75" hidden="false" customHeight="true" outlineLevel="0" collapsed="false">
      <c r="A101" s="47" t="n">
        <v>94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32" t="str">
        <f aca="false">IF(J101="","",J101/100)</f>
        <v/>
      </c>
      <c r="M101" s="32" t="str">
        <f aca="false">IF(H101="","",IFERROR(VLOOKUP(H101*1,COURBE!$B$8:$N$27,IF(F101="ESTER",7,8),0),0))</f>
        <v/>
      </c>
      <c r="N101" s="49" t="str">
        <f aca="false">IF(L101="","",IF(G101="PAY",M101-L101,L101-M101))</f>
        <v/>
      </c>
      <c r="O101" s="50" t="str">
        <f aca="false">IF(H101="","",IF(G101="PAY",-1,1)*I101*1000000*H101/10000)</f>
        <v/>
      </c>
      <c r="P101" s="50" t="str">
        <f aca="false">IF(H101="","",I101*1000000*L101*H101/10000)</f>
        <v/>
      </c>
      <c r="Q101" s="51" t="str">
        <f aca="false">IF(O101="","",O101)</f>
        <v/>
      </c>
      <c r="R101" s="50" t="str">
        <f aca="false">IF(L101="","",IF(G101="PAY",(M101-L101),-( M101-L101))*I101*1000000/365)</f>
        <v/>
      </c>
      <c r="S101" s="49" t="str">
        <f aca="false">IF(H101="","",IFERROR((VLOOKUP(H101*1,COURBE!$B$8:$N$27,IF(F101="ESTER",7,8),0)-VLOOKUP(MAX(H101-1,1),COURBE!$B$8:$N$27,IF(F101="ESTER",7,8),0))*10000,0))</f>
        <v/>
      </c>
      <c r="T101" s="50" t="str">
        <f aca="false">IF(R101="","",R101*90+IF(S101="",0,S101)*I101*1000000/10000*H101/365)</f>
        <v/>
      </c>
      <c r="U101" s="52" t="str">
        <f aca="false">IF(L101="","",O101*(M101-L101)*10000)</f>
        <v/>
      </c>
      <c r="V101" s="50" t="str">
        <f aca="false">IF(O101="","",0)</f>
        <v/>
      </c>
      <c r="W101" s="54"/>
    </row>
    <row r="102" customFormat="false" ht="18.75" hidden="false" customHeight="true" outlineLevel="0" collapsed="false">
      <c r="A102" s="47" t="n">
        <v>95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32" t="str">
        <f aca="false">IF(J102="","",J102/100)</f>
        <v/>
      </c>
      <c r="M102" s="32" t="str">
        <f aca="false">IF(H102="","",IFERROR(VLOOKUP(H102*1,COURBE!$B$8:$N$27,IF(F102="ESTER",7,8),0),0))</f>
        <v/>
      </c>
      <c r="N102" s="49" t="str">
        <f aca="false">IF(L102="","",IF(G102="PAY",M102-L102,L102-M102))</f>
        <v/>
      </c>
      <c r="O102" s="50" t="str">
        <f aca="false">IF(H102="","",IF(G102="PAY",-1,1)*I102*1000000*H102/10000)</f>
        <v/>
      </c>
      <c r="P102" s="50" t="str">
        <f aca="false">IF(H102="","",I102*1000000*L102*H102/10000)</f>
        <v/>
      </c>
      <c r="Q102" s="51" t="str">
        <f aca="false">IF(O102="","",O102)</f>
        <v/>
      </c>
      <c r="R102" s="50" t="str">
        <f aca="false">IF(L102="","",IF(G102="PAY",(M102-L102),-( M102-L102))*I102*1000000/365)</f>
        <v/>
      </c>
      <c r="S102" s="49" t="str">
        <f aca="false">IF(H102="","",IFERROR((VLOOKUP(H102*1,COURBE!$B$8:$N$27,IF(F102="ESTER",7,8),0)-VLOOKUP(MAX(H102-1,1),COURBE!$B$8:$N$27,IF(F102="ESTER",7,8),0))*10000,0))</f>
        <v/>
      </c>
      <c r="T102" s="50" t="str">
        <f aca="false">IF(R102="","",R102*90+IF(S102="",0,S102)*I102*1000000/10000*H102/365)</f>
        <v/>
      </c>
      <c r="U102" s="52" t="str">
        <f aca="false">IF(L102="","",O102*(M102-L102)*10000)</f>
        <v/>
      </c>
      <c r="V102" s="50" t="str">
        <f aca="false">IF(O102="","",0)</f>
        <v/>
      </c>
      <c r="W102" s="53"/>
    </row>
    <row r="103" customFormat="false" ht="18.75" hidden="false" customHeight="true" outlineLevel="0" collapsed="false">
      <c r="A103" s="47" t="n">
        <v>96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32" t="str">
        <f aca="false">IF(J103="","",J103/100)</f>
        <v/>
      </c>
      <c r="M103" s="32" t="str">
        <f aca="false">IF(H103="","",IFERROR(VLOOKUP(H103*1,COURBE!$B$8:$N$27,IF(F103="ESTER",7,8),0),0))</f>
        <v/>
      </c>
      <c r="N103" s="49" t="str">
        <f aca="false">IF(L103="","",IF(G103="PAY",M103-L103,L103-M103))</f>
        <v/>
      </c>
      <c r="O103" s="50" t="str">
        <f aca="false">IF(H103="","",IF(G103="PAY",-1,1)*I103*1000000*H103/10000)</f>
        <v/>
      </c>
      <c r="P103" s="50" t="str">
        <f aca="false">IF(H103="","",I103*1000000*L103*H103/10000)</f>
        <v/>
      </c>
      <c r="Q103" s="51" t="str">
        <f aca="false">IF(O103="","",O103)</f>
        <v/>
      </c>
      <c r="R103" s="50" t="str">
        <f aca="false">IF(L103="","",IF(G103="PAY",(M103-L103),-( M103-L103))*I103*1000000/365)</f>
        <v/>
      </c>
      <c r="S103" s="49" t="str">
        <f aca="false">IF(H103="","",IFERROR((VLOOKUP(H103*1,COURBE!$B$8:$N$27,IF(F103="ESTER",7,8),0)-VLOOKUP(MAX(H103-1,1),COURBE!$B$8:$N$27,IF(F103="ESTER",7,8),0))*10000,0))</f>
        <v/>
      </c>
      <c r="T103" s="50" t="str">
        <f aca="false">IF(R103="","",R103*90+IF(S103="",0,S103)*I103*1000000/10000*H103/365)</f>
        <v/>
      </c>
      <c r="U103" s="52" t="str">
        <f aca="false">IF(L103="","",O103*(M103-L103)*10000)</f>
        <v/>
      </c>
      <c r="V103" s="50" t="str">
        <f aca="false">IF(O103="","",0)</f>
        <v/>
      </c>
      <c r="W103" s="54"/>
    </row>
    <row r="104" customFormat="false" ht="18.75" hidden="false" customHeight="true" outlineLevel="0" collapsed="false">
      <c r="A104" s="47" t="n">
        <v>97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32" t="str">
        <f aca="false">IF(J104="","",J104/100)</f>
        <v/>
      </c>
      <c r="M104" s="32" t="str">
        <f aca="false">IF(H104="","",IFERROR(VLOOKUP(H104*1,COURBE!$B$8:$N$27,IF(F104="ESTER",7,8),0),0))</f>
        <v/>
      </c>
      <c r="N104" s="49" t="str">
        <f aca="false">IF(L104="","",IF(G104="PAY",M104-L104,L104-M104))</f>
        <v/>
      </c>
      <c r="O104" s="50" t="str">
        <f aca="false">IF(H104="","",IF(G104="PAY",-1,1)*I104*1000000*H104/10000)</f>
        <v/>
      </c>
      <c r="P104" s="50" t="str">
        <f aca="false">IF(H104="","",I104*1000000*L104*H104/10000)</f>
        <v/>
      </c>
      <c r="Q104" s="51" t="str">
        <f aca="false">IF(O104="","",O104)</f>
        <v/>
      </c>
      <c r="R104" s="50" t="str">
        <f aca="false">IF(L104="","",IF(G104="PAY",(M104-L104),-( M104-L104))*I104*1000000/365)</f>
        <v/>
      </c>
      <c r="S104" s="49" t="str">
        <f aca="false">IF(H104="","",IFERROR((VLOOKUP(H104*1,COURBE!$B$8:$N$27,IF(F104="ESTER",7,8),0)-VLOOKUP(MAX(H104-1,1),COURBE!$B$8:$N$27,IF(F104="ESTER",7,8),0))*10000,0))</f>
        <v/>
      </c>
      <c r="T104" s="50" t="str">
        <f aca="false">IF(R104="","",R104*90+IF(S104="",0,S104)*I104*1000000/10000*H104/365)</f>
        <v/>
      </c>
      <c r="U104" s="52" t="str">
        <f aca="false">IF(L104="","",O104*(M104-L104)*10000)</f>
        <v/>
      </c>
      <c r="V104" s="50" t="str">
        <f aca="false">IF(O104="","",0)</f>
        <v/>
      </c>
      <c r="W104" s="53"/>
    </row>
    <row r="105" customFormat="false" ht="18.75" hidden="false" customHeight="true" outlineLevel="0" collapsed="false">
      <c r="A105" s="47" t="n">
        <v>98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32" t="str">
        <f aca="false">IF(J105="","",J105/100)</f>
        <v/>
      </c>
      <c r="M105" s="32" t="str">
        <f aca="false">IF(H105="","",IFERROR(VLOOKUP(H105*1,COURBE!$B$8:$N$27,IF(F105="ESTER",7,8),0),0))</f>
        <v/>
      </c>
      <c r="N105" s="49" t="str">
        <f aca="false">IF(L105="","",IF(G105="PAY",M105-L105,L105-M105))</f>
        <v/>
      </c>
      <c r="O105" s="50" t="str">
        <f aca="false">IF(H105="","",IF(G105="PAY",-1,1)*I105*1000000*H105/10000)</f>
        <v/>
      </c>
      <c r="P105" s="50" t="str">
        <f aca="false">IF(H105="","",I105*1000000*L105*H105/10000)</f>
        <v/>
      </c>
      <c r="Q105" s="51" t="str">
        <f aca="false">IF(O105="","",O105)</f>
        <v/>
      </c>
      <c r="R105" s="50" t="str">
        <f aca="false">IF(L105="","",IF(G105="PAY",(M105-L105),-( M105-L105))*I105*1000000/365)</f>
        <v/>
      </c>
      <c r="S105" s="49" t="str">
        <f aca="false">IF(H105="","",IFERROR((VLOOKUP(H105*1,COURBE!$B$8:$N$27,IF(F105="ESTER",7,8),0)-VLOOKUP(MAX(H105-1,1),COURBE!$B$8:$N$27,IF(F105="ESTER",7,8),0))*10000,0))</f>
        <v/>
      </c>
      <c r="T105" s="50" t="str">
        <f aca="false">IF(R105="","",R105*90+IF(S105="",0,S105)*I105*1000000/10000*H105/365)</f>
        <v/>
      </c>
      <c r="U105" s="52" t="str">
        <f aca="false">IF(L105="","",O105*(M105-L105)*10000)</f>
        <v/>
      </c>
      <c r="V105" s="50" t="str">
        <f aca="false">IF(O105="","",0)</f>
        <v/>
      </c>
      <c r="W105" s="54"/>
    </row>
    <row r="106" customFormat="false" ht="18.75" hidden="false" customHeight="true" outlineLevel="0" collapsed="false">
      <c r="A106" s="47" t="n">
        <v>99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32" t="str">
        <f aca="false">IF(J106="","",J106/100)</f>
        <v/>
      </c>
      <c r="M106" s="32" t="str">
        <f aca="false">IF(H106="","",IFERROR(VLOOKUP(H106*1,COURBE!$B$8:$N$27,IF(F106="ESTER",7,8),0),0))</f>
        <v/>
      </c>
      <c r="N106" s="49" t="str">
        <f aca="false">IF(L106="","",IF(G106="PAY",M106-L106,L106-M106))</f>
        <v/>
      </c>
      <c r="O106" s="50" t="str">
        <f aca="false">IF(H106="","",IF(G106="PAY",-1,1)*I106*1000000*H106/10000)</f>
        <v/>
      </c>
      <c r="P106" s="50" t="str">
        <f aca="false">IF(H106="","",I106*1000000*L106*H106/10000)</f>
        <v/>
      </c>
      <c r="Q106" s="51" t="str">
        <f aca="false">IF(O106="","",O106)</f>
        <v/>
      </c>
      <c r="R106" s="50" t="str">
        <f aca="false">IF(L106="","",IF(G106="PAY",(M106-L106),-( M106-L106))*I106*1000000/365)</f>
        <v/>
      </c>
      <c r="S106" s="49" t="str">
        <f aca="false">IF(H106="","",IFERROR((VLOOKUP(H106*1,COURBE!$B$8:$N$27,IF(F106="ESTER",7,8),0)-VLOOKUP(MAX(H106-1,1),COURBE!$B$8:$N$27,IF(F106="ESTER",7,8),0))*10000,0))</f>
        <v/>
      </c>
      <c r="T106" s="50" t="str">
        <f aca="false">IF(R106="","",R106*90+IF(S106="",0,S106)*I106*1000000/10000*H106/365)</f>
        <v/>
      </c>
      <c r="U106" s="52" t="str">
        <f aca="false">IF(L106="","",O106*(M106-L106)*10000)</f>
        <v/>
      </c>
      <c r="V106" s="50" t="str">
        <f aca="false">IF(O106="","",0)</f>
        <v/>
      </c>
      <c r="W106" s="53"/>
    </row>
    <row r="107" customFormat="false" ht="18.75" hidden="false" customHeight="true" outlineLevel="0" collapsed="false">
      <c r="A107" s="47" t="n">
        <v>100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32" t="str">
        <f aca="false">IF(J107="","",J107/100)</f>
        <v/>
      </c>
      <c r="M107" s="32" t="str">
        <f aca="false">IF(H107="","",IFERROR(VLOOKUP(H107*1,COURBE!$B$8:$N$27,IF(F107="ESTER",7,8),0),0))</f>
        <v/>
      </c>
      <c r="N107" s="49" t="str">
        <f aca="false">IF(L107="","",IF(G107="PAY",M107-L107,L107-M107))</f>
        <v/>
      </c>
      <c r="O107" s="50" t="str">
        <f aca="false">IF(H107="","",IF(G107="PAY",-1,1)*I107*1000000*H107/10000)</f>
        <v/>
      </c>
      <c r="P107" s="50" t="str">
        <f aca="false">IF(H107="","",I107*1000000*L107*H107/10000)</f>
        <v/>
      </c>
      <c r="Q107" s="51" t="str">
        <f aca="false">IF(O107="","",O107)</f>
        <v/>
      </c>
      <c r="R107" s="50" t="str">
        <f aca="false">IF(L107="","",IF(G107="PAY",(M107-L107),-( M107-L107))*I107*1000000/365)</f>
        <v/>
      </c>
      <c r="S107" s="49" t="str">
        <f aca="false">IF(H107="","",IFERROR((VLOOKUP(H107*1,COURBE!$B$8:$N$27,IF(F107="ESTER",7,8),0)-VLOOKUP(MAX(H107-1,1),COURBE!$B$8:$N$27,IF(F107="ESTER",7,8),0))*10000,0))</f>
        <v/>
      </c>
      <c r="T107" s="50" t="str">
        <f aca="false">IF(R107="","",R107*90+IF(S107="",0,S107)*I107*1000000/10000*H107/365)</f>
        <v/>
      </c>
      <c r="U107" s="52" t="str">
        <f aca="false">IF(L107="","",O107*(M107-L107)*10000)</f>
        <v/>
      </c>
      <c r="V107" s="50" t="str">
        <f aca="false">IF(O107="","",0)</f>
        <v/>
      </c>
      <c r="W107" s="54"/>
    </row>
    <row r="108" customFormat="false" ht="7.5" hidden="false" customHeight="true" outlineLevel="0" collapsed="false"/>
    <row r="109" customFormat="false" ht="25.5" hidden="false" customHeight="true" outlineLevel="0" collapsed="false">
      <c r="A109" s="55" t="s">
        <v>133</v>
      </c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11" t="n">
        <f aca="false">SUM(O8:O107)</f>
        <v>150000</v>
      </c>
      <c r="P109" s="11" t="n">
        <f aca="false">SUM(P8:P107)</f>
        <v>8702.5</v>
      </c>
      <c r="Q109" s="11" t="n">
        <f aca="false">SUM(Q8:Q107)</f>
        <v>150000</v>
      </c>
      <c r="R109" s="11" t="n">
        <f aca="false">SUM(R8:R107)</f>
        <v>1801.3698630137</v>
      </c>
      <c r="T109" s="11" t="n">
        <f aca="false">SUM(T8:T107)</f>
        <v>162123.287671233</v>
      </c>
      <c r="U109" s="11" t="n">
        <f aca="false">SUM(U8:U107)</f>
        <v>-36625000</v>
      </c>
      <c r="V109" s="11" t="n">
        <f aca="false">SUM(V8:V107)</f>
        <v>0</v>
      </c>
    </row>
  </sheetData>
  <mergeCells count="11">
    <mergeCell ref="A1:W1"/>
    <mergeCell ref="A2:W2"/>
    <mergeCell ref="A4:W4"/>
    <mergeCell ref="B6:D6"/>
    <mergeCell ref="E6:H6"/>
    <mergeCell ref="I6:K6"/>
    <mergeCell ref="L6:N6"/>
    <mergeCell ref="O6:Q6"/>
    <mergeCell ref="R6:T6"/>
    <mergeCell ref="U6:W6"/>
    <mergeCell ref="A109:N109"/>
  </mergeCells>
  <conditionalFormatting sqref="Q8:Q10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U8:U10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dataValidations count="3">
    <dataValidation allowBlank="false" errorStyle="stop" operator="between" showDropDown="false" showErrorMessage="false" showInputMessage="false" sqref="F8:F107" type="list">
      <formula1>"ESTER,EURIB6M"</formula1>
      <formula2>0</formula2>
    </dataValidation>
    <dataValidation allowBlank="false" errorStyle="stop" operator="between" showDropDown="false" showErrorMessage="false" showInputMessage="false" sqref="G8:G107" type="list">
      <formula1>"PAY,RECEIVE"</formula1>
      <formula2>0</formula2>
    </dataValidation>
    <dataValidation allowBlank="false" errorStyle="stop" operator="between" showDropDown="false" showErrorMessage="false" showInputMessage="false" sqref="H8:H107" type="list">
      <formula1>"1,2,3,4,5,6,7,8,9,10,11,12,15,20,25,30,35,40,50,60"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B1:K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9" min="4" style="1" width="14"/>
    <col collapsed="false" customWidth="true" hidden="false" outlineLevel="0" max="11" min="10" style="1" width="16"/>
  </cols>
  <sheetData>
    <row r="1" customFormat="false" ht="37.5" hidden="false" customHeight="true" outlineLevel="0" collapsed="false">
      <c r="B1" s="22" t="s">
        <v>134</v>
      </c>
      <c r="C1" s="22"/>
      <c r="D1" s="22"/>
      <c r="E1" s="22"/>
      <c r="F1" s="22"/>
      <c r="G1" s="22"/>
      <c r="H1" s="22"/>
      <c r="I1" s="22"/>
      <c r="J1" s="22"/>
      <c r="K1" s="22"/>
    </row>
    <row r="2" customFormat="false" ht="18" hidden="false" customHeight="true" outlineLevel="0" collapsed="false">
      <c r="B2" s="23" t="s">
        <v>135</v>
      </c>
      <c r="C2" s="23"/>
      <c r="D2" s="23"/>
      <c r="E2" s="23"/>
      <c r="F2" s="23"/>
      <c r="G2" s="23"/>
      <c r="H2" s="23"/>
      <c r="I2" s="23"/>
      <c r="J2" s="23"/>
      <c r="K2" s="23"/>
    </row>
    <row r="3" customFormat="false" ht="7.5" hidden="false" customHeight="true" outlineLevel="0" collapsed="false"/>
    <row r="4" customFormat="false" ht="21.75" hidden="false" customHeight="true" outlineLevel="0" collapsed="false">
      <c r="B4" s="5" t="s">
        <v>136</v>
      </c>
      <c r="C4" s="5"/>
      <c r="D4" s="5"/>
      <c r="E4" s="56" t="s">
        <v>137</v>
      </c>
      <c r="F4" s="56"/>
      <c r="G4" s="56"/>
      <c r="H4" s="56"/>
    </row>
    <row r="5" customFormat="false" ht="21.75" hidden="false" customHeight="true" outlineLevel="0" collapsed="false">
      <c r="B5" s="20" t="s">
        <v>41</v>
      </c>
      <c r="C5" s="57" t="n">
        <v>100</v>
      </c>
      <c r="E5" s="58" t="s">
        <v>62</v>
      </c>
      <c r="F5" s="13" t="n">
        <f aca="false">IFERROR(VLOOKUP($C$12,COURBE!$B$8:$N$27,7,0),0)</f>
        <v>0</v>
      </c>
    </row>
    <row r="6" customFormat="false" ht="21.75" hidden="false" customHeight="true" outlineLevel="0" collapsed="false">
      <c r="B6" s="20" t="s">
        <v>138</v>
      </c>
      <c r="C6" s="59" t="n">
        <v>10</v>
      </c>
      <c r="E6" s="58" t="s">
        <v>63</v>
      </c>
      <c r="F6" s="13" t="n">
        <f aca="false">IFERROR(VLOOKUP($C$12,COURBE!$B$8:$N$27,8,0),0)</f>
        <v>0</v>
      </c>
    </row>
    <row r="7" customFormat="false" ht="21.75" hidden="false" customHeight="true" outlineLevel="0" collapsed="false">
      <c r="B7" s="20" t="s">
        <v>139</v>
      </c>
      <c r="C7" s="60" t="n">
        <v>2.52</v>
      </c>
      <c r="E7" s="58" t="s">
        <v>140</v>
      </c>
      <c r="F7" s="61" t="n">
        <f aca="false">IFERROR(VLOOKUP($C$12,COURBE!$B$8:$N$27,11,0),0)</f>
        <v>0</v>
      </c>
    </row>
    <row r="8" customFormat="false" ht="21.75" hidden="false" customHeight="true" outlineLevel="0" collapsed="false">
      <c r="B8" s="20" t="s">
        <v>141</v>
      </c>
      <c r="C8" s="62" t="n">
        <v>1</v>
      </c>
      <c r="E8" s="58" t="s">
        <v>64</v>
      </c>
      <c r="F8" s="13" t="n">
        <f aca="false">IFERROR(VLOOKUP($C$12,COURBE!$B$8:$N$27,9,0),0)</f>
        <v>0</v>
      </c>
    </row>
    <row r="9" customFormat="false" ht="21.75" hidden="false" customHeight="true" outlineLevel="0" collapsed="false">
      <c r="B9" s="20" t="s">
        <v>100</v>
      </c>
      <c r="C9" s="48" t="s">
        <v>122</v>
      </c>
      <c r="E9" s="58" t="s">
        <v>142</v>
      </c>
      <c r="F9" s="13" t="n">
        <f aca="false">IF($C$10="ESTER",F5,F6)+$C$11/10000</f>
        <v>0</v>
      </c>
    </row>
    <row r="10" customFormat="false" ht="21.75" hidden="false" customHeight="true" outlineLevel="0" collapsed="false">
      <c r="B10" s="20" t="s">
        <v>39</v>
      </c>
      <c r="C10" s="48" t="s">
        <v>121</v>
      </c>
      <c r="E10" s="58" t="s">
        <v>68</v>
      </c>
      <c r="F10" s="34" t="n">
        <f aca="false">IFERROR(VLOOKUP($C$12,COURBE!$B$8:$N$27,13,0),0)</f>
        <v>0</v>
      </c>
    </row>
    <row r="11" customFormat="false" ht="21.75" hidden="false" customHeight="true" outlineLevel="0" collapsed="false">
      <c r="B11" s="20" t="s">
        <v>143</v>
      </c>
      <c r="C11" s="26" t="n">
        <v>0</v>
      </c>
    </row>
    <row r="12" customFormat="false" ht="21.75" hidden="false" customHeight="true" outlineLevel="0" collapsed="false">
      <c r="B12" s="20" t="s">
        <v>144</v>
      </c>
      <c r="C12" s="59" t="n">
        <v>10</v>
      </c>
    </row>
    <row r="13" customFormat="false" ht="7.5" hidden="false" customHeight="true" outlineLevel="0" collapsed="false"/>
    <row r="14" customFormat="false" ht="21.75" hidden="false" customHeight="true" outlineLevel="0" collapsed="false">
      <c r="B14" s="5" t="s">
        <v>145</v>
      </c>
      <c r="C14" s="5"/>
      <c r="D14" s="5"/>
    </row>
    <row r="15" customFormat="false" ht="21.75" hidden="false" customHeight="true" outlineLevel="0" collapsed="false">
      <c r="B15" s="20" t="s">
        <v>146</v>
      </c>
      <c r="C15" s="11" t="n">
        <f aca="false">IF($C$9="PAY",-1,1)*$C$5*1000000*$C$6/10000</f>
        <v>-100000</v>
      </c>
    </row>
    <row r="16" customFormat="false" ht="21.75" hidden="false" customHeight="true" outlineLevel="0" collapsed="false">
      <c r="B16" s="20" t="s">
        <v>147</v>
      </c>
      <c r="C16" s="11" t="n">
        <f aca="false">$C$5*1000000*($C$7/100)*$C$6/10000</f>
        <v>2520</v>
      </c>
    </row>
    <row r="17" customFormat="false" ht="21.75" hidden="false" customHeight="true" outlineLevel="0" collapsed="false">
      <c r="B17" s="20" t="s">
        <v>148</v>
      </c>
      <c r="C17" s="63" t="n">
        <f aca="false">IFERROR($C$6*(1+IF($C$10="ESTER",F5,F6))^(-1),0)</f>
        <v>10</v>
      </c>
    </row>
    <row r="18" customFormat="false" ht="21.75" hidden="false" customHeight="true" outlineLevel="0" collapsed="false">
      <c r="B18" s="20" t="s">
        <v>149</v>
      </c>
      <c r="C18" s="64" t="n">
        <f aca="false">$C$6^2*(1+IF($C$10="ESTER",F5,F6))^(-2)*0.5</f>
        <v>50</v>
      </c>
    </row>
    <row r="19" customFormat="false" ht="21.75" hidden="false" customHeight="true" outlineLevel="0" collapsed="false">
      <c r="B19" s="20" t="s">
        <v>150</v>
      </c>
      <c r="C19" s="11" t="n">
        <f aca="false">IF($C$9="PAY",-1,1)*$C$5*1000000*($C$7/100-F9)/365</f>
        <v>-6904.1095890411</v>
      </c>
    </row>
    <row r="20" customFormat="false" ht="21.75" hidden="false" customHeight="true" outlineLevel="0" collapsed="false">
      <c r="B20" s="20" t="s">
        <v>151</v>
      </c>
      <c r="C20" s="11" t="n">
        <f aca="false">IF($C$9="PAY",-1,1)*$C$5*1000000*($C$7/100-F9)*0.25</f>
        <v>-630000</v>
      </c>
    </row>
    <row r="21" customFormat="false" ht="21.75" hidden="false" customHeight="true" outlineLevel="0" collapsed="false">
      <c r="B21" s="20" t="s">
        <v>152</v>
      </c>
      <c r="C21" s="11" t="n">
        <f aca="false">IF($C$9="PAY",-1,1)*$C$5*1000000*($C$7/100-IF($C$10="ESTER",F5,F6))*$C$6</f>
        <v>-25200000</v>
      </c>
    </row>
    <row r="22" customFormat="false" ht="21.75" hidden="false" customHeight="true" outlineLevel="0" collapsed="false">
      <c r="B22" s="20" t="s">
        <v>153</v>
      </c>
      <c r="C22" s="11" t="n">
        <f aca="false">ABS(C15)*PARAMS!$C$5/10000</f>
        <v>600</v>
      </c>
    </row>
    <row r="23" customFormat="false" ht="21.75" hidden="false" customHeight="true" outlineLevel="0" collapsed="false">
      <c r="B23" s="20" t="s">
        <v>154</v>
      </c>
      <c r="C23" s="11" t="n">
        <f aca="false">C15</f>
        <v>-100000</v>
      </c>
    </row>
    <row r="24" customFormat="false" ht="21.75" hidden="false" customHeight="true" outlineLevel="0" collapsed="false">
      <c r="B24" s="20" t="s">
        <v>155</v>
      </c>
      <c r="C24" s="11" t="n">
        <f aca="false">-C15</f>
        <v>100000</v>
      </c>
    </row>
    <row r="25" customFormat="false" ht="21.75" hidden="false" customHeight="true" outlineLevel="0" collapsed="false">
      <c r="B25" s="20" t="s">
        <v>156</v>
      </c>
      <c r="C25" s="11" t="n">
        <f aca="false">C15*25</f>
        <v>-2500000</v>
      </c>
    </row>
    <row r="26" customFormat="false" ht="21.75" hidden="false" customHeight="true" outlineLevel="0" collapsed="false">
      <c r="B26" s="20" t="s">
        <v>157</v>
      </c>
      <c r="C26" s="11" t="n">
        <f aca="false">-C15*25</f>
        <v>2500000</v>
      </c>
    </row>
    <row r="28" customFormat="false" ht="7.5" hidden="false" customHeight="true" outlineLevel="0" collapsed="false"/>
    <row r="29" customFormat="false" ht="21.75" hidden="false" customHeight="true" outlineLevel="0" collapsed="false">
      <c r="B29" s="5" t="s">
        <v>158</v>
      </c>
      <c r="C29" s="5"/>
      <c r="D29" s="5"/>
      <c r="E29" s="5"/>
      <c r="F29" s="5"/>
      <c r="G29" s="5"/>
      <c r="H29" s="5"/>
      <c r="I29" s="5"/>
      <c r="J29" s="5"/>
      <c r="K29" s="5"/>
    </row>
    <row r="30" customFormat="false" ht="24" hidden="false" customHeight="true" outlineLevel="0" collapsed="false">
      <c r="B30" s="12" t="s">
        <v>159</v>
      </c>
      <c r="C30" s="12" t="s">
        <v>160</v>
      </c>
      <c r="D30" s="12" t="s">
        <v>161</v>
      </c>
      <c r="E30" s="12" t="s">
        <v>162</v>
      </c>
      <c r="F30" s="12" t="s">
        <v>163</v>
      </c>
      <c r="G30" s="12" t="s">
        <v>164</v>
      </c>
      <c r="H30" s="12" t="s">
        <v>165</v>
      </c>
      <c r="I30" s="12" t="s">
        <v>166</v>
      </c>
    </row>
    <row r="31" customFormat="false" ht="18" hidden="false" customHeight="true" outlineLevel="0" collapsed="false">
      <c r="B31" s="65" t="n">
        <v>1</v>
      </c>
      <c r="C31" s="66" t="n">
        <f aca="false">IF(1&gt;$C$6*$C$8,"",1/$C$8)</f>
        <v>1</v>
      </c>
      <c r="D31" s="67" t="n">
        <f aca="false">IF(C31="","",IF($C$9="PAY",-1,1)*$C$5*1000000*($C$7/100)/$C$8)</f>
        <v>-2520000</v>
      </c>
      <c r="E31" s="67" t="n">
        <f aca="false">IF(C31="","",IF($C$9="PAY",1,-1)*$C$5*1000000*F9/$C$8)</f>
        <v>0</v>
      </c>
      <c r="F31" s="67" t="n">
        <f aca="false">IF(C31="","",D31+E31)</f>
        <v>-2520000</v>
      </c>
      <c r="G31" s="33" t="n">
        <f aca="false">IF(C31="","",(1+IF($C$10="ESTER",F5,F6))^(-C31))</f>
        <v>1</v>
      </c>
      <c r="H31" s="67" t="n">
        <f aca="false">IF(C31="","",F31*G31)</f>
        <v>-2520000</v>
      </c>
      <c r="I31" s="67" t="n">
        <f aca="false">IF(C31="","",SUM($H$31:H31))</f>
        <v>-2520000</v>
      </c>
    </row>
    <row r="32" customFormat="false" ht="18" hidden="false" customHeight="true" outlineLevel="0" collapsed="false">
      <c r="B32" s="65" t="n">
        <v>2</v>
      </c>
      <c r="C32" s="66" t="n">
        <f aca="false">IF(2&gt;$C$6*$C$8,"",2/$C$8)</f>
        <v>2</v>
      </c>
      <c r="D32" s="67" t="n">
        <f aca="false">IF(C32="","",IF($C$9="PAY",-1,1)*$C$5*1000000*($C$7/100)/$C$8)</f>
        <v>-2520000</v>
      </c>
      <c r="E32" s="67" t="n">
        <f aca="false">IF(C32="","",IF($C$9="PAY",1,-1)*$C$5*1000000*F9/$C$8)</f>
        <v>0</v>
      </c>
      <c r="F32" s="67" t="n">
        <f aca="false">IF(C32="","",D32+E32)</f>
        <v>-2520000</v>
      </c>
      <c r="G32" s="33" t="n">
        <f aca="false">IF(C32="","",(1+IF($C$10="ESTER",F5,F6))^(-C32))</f>
        <v>1</v>
      </c>
      <c r="H32" s="67" t="n">
        <f aca="false">IF(C32="","",F32*G32)</f>
        <v>-2520000</v>
      </c>
      <c r="I32" s="67" t="n">
        <f aca="false">IF(C32="","",SUM($H$31:H32))</f>
        <v>-5040000</v>
      </c>
    </row>
    <row r="33" customFormat="false" ht="18" hidden="false" customHeight="true" outlineLevel="0" collapsed="false">
      <c r="B33" s="65" t="n">
        <v>3</v>
      </c>
      <c r="C33" s="66" t="n">
        <f aca="false">IF(3&gt;$C$6*$C$8,"",3/$C$8)</f>
        <v>3</v>
      </c>
      <c r="D33" s="67" t="n">
        <f aca="false">IF(C33="","",IF($C$9="PAY",-1,1)*$C$5*1000000*($C$7/100)/$C$8)</f>
        <v>-2520000</v>
      </c>
      <c r="E33" s="67" t="n">
        <f aca="false">IF(C33="","",IF($C$9="PAY",1,-1)*$C$5*1000000*F9/$C$8)</f>
        <v>0</v>
      </c>
      <c r="F33" s="67" t="n">
        <f aca="false">IF(C33="","",D33+E33)</f>
        <v>-2520000</v>
      </c>
      <c r="G33" s="33" t="n">
        <f aca="false">IF(C33="","",(1+IF($C$10="ESTER",F5,F6))^(-C33))</f>
        <v>1</v>
      </c>
      <c r="H33" s="67" t="n">
        <f aca="false">IF(C33="","",F33*G33)</f>
        <v>-2520000</v>
      </c>
      <c r="I33" s="67" t="n">
        <f aca="false">IF(C33="","",SUM($H$31:H33))</f>
        <v>-7560000</v>
      </c>
    </row>
    <row r="34" customFormat="false" ht="18" hidden="false" customHeight="true" outlineLevel="0" collapsed="false">
      <c r="B34" s="65" t="n">
        <v>4</v>
      </c>
      <c r="C34" s="66" t="n">
        <f aca="false">IF(4&gt;$C$6*$C$8,"",4/$C$8)</f>
        <v>4</v>
      </c>
      <c r="D34" s="67" t="n">
        <f aca="false">IF(C34="","",IF($C$9="PAY",-1,1)*$C$5*1000000*($C$7/100)/$C$8)</f>
        <v>-2520000</v>
      </c>
      <c r="E34" s="67" t="n">
        <f aca="false">IF(C34="","",IF($C$9="PAY",1,-1)*$C$5*1000000*F9/$C$8)</f>
        <v>0</v>
      </c>
      <c r="F34" s="67" t="n">
        <f aca="false">IF(C34="","",D34+E34)</f>
        <v>-2520000</v>
      </c>
      <c r="G34" s="33" t="n">
        <f aca="false">IF(C34="","",(1+IF($C$10="ESTER",F5,F6))^(-C34))</f>
        <v>1</v>
      </c>
      <c r="H34" s="67" t="n">
        <f aca="false">IF(C34="","",F34*G34)</f>
        <v>-2520000</v>
      </c>
      <c r="I34" s="67" t="n">
        <f aca="false">IF(C34="","",SUM($H$31:H34))</f>
        <v>-10080000</v>
      </c>
    </row>
    <row r="35" customFormat="false" ht="18" hidden="false" customHeight="true" outlineLevel="0" collapsed="false">
      <c r="B35" s="65" t="n">
        <v>5</v>
      </c>
      <c r="C35" s="66" t="n">
        <f aca="false">IF(5&gt;$C$6*$C$8,"",5/$C$8)</f>
        <v>5</v>
      </c>
      <c r="D35" s="67" t="n">
        <f aca="false">IF(C35="","",IF($C$9="PAY",-1,1)*$C$5*1000000*($C$7/100)/$C$8)</f>
        <v>-2520000</v>
      </c>
      <c r="E35" s="67" t="n">
        <f aca="false">IF(C35="","",IF($C$9="PAY",1,-1)*$C$5*1000000*F9/$C$8)</f>
        <v>0</v>
      </c>
      <c r="F35" s="67" t="n">
        <f aca="false">IF(C35="","",D35+E35)</f>
        <v>-2520000</v>
      </c>
      <c r="G35" s="33" t="n">
        <f aca="false">IF(C35="","",(1+IF($C$10="ESTER",F5,F6))^(-C35))</f>
        <v>1</v>
      </c>
      <c r="H35" s="67" t="n">
        <f aca="false">IF(C35="","",F35*G35)</f>
        <v>-2520000</v>
      </c>
      <c r="I35" s="67" t="n">
        <f aca="false">IF(C35="","",SUM($H$31:H35))</f>
        <v>-12600000</v>
      </c>
    </row>
    <row r="36" customFormat="false" ht="18" hidden="false" customHeight="true" outlineLevel="0" collapsed="false">
      <c r="B36" s="65" t="n">
        <v>6</v>
      </c>
      <c r="C36" s="66" t="n">
        <f aca="false">IF(6&gt;$C$6*$C$8,"",6/$C$8)</f>
        <v>6</v>
      </c>
      <c r="D36" s="67" t="n">
        <f aca="false">IF(C36="","",IF($C$9="PAY",-1,1)*$C$5*1000000*($C$7/100)/$C$8)</f>
        <v>-2520000</v>
      </c>
      <c r="E36" s="67" t="n">
        <f aca="false">IF(C36="","",IF($C$9="PAY",1,-1)*$C$5*1000000*F9/$C$8)</f>
        <v>0</v>
      </c>
      <c r="F36" s="67" t="n">
        <f aca="false">IF(C36="","",D36+E36)</f>
        <v>-2520000</v>
      </c>
      <c r="G36" s="33" t="n">
        <f aca="false">IF(C36="","",(1+IF($C$10="ESTER",F5,F6))^(-C36))</f>
        <v>1</v>
      </c>
      <c r="H36" s="67" t="n">
        <f aca="false">IF(C36="","",F36*G36)</f>
        <v>-2520000</v>
      </c>
      <c r="I36" s="67" t="n">
        <f aca="false">IF(C36="","",SUM($H$31:H36))</f>
        <v>-15120000</v>
      </c>
    </row>
    <row r="37" customFormat="false" ht="18" hidden="false" customHeight="true" outlineLevel="0" collapsed="false">
      <c r="B37" s="65" t="n">
        <v>7</v>
      </c>
      <c r="C37" s="66" t="n">
        <f aca="false">IF(7&gt;$C$6*$C$8,"",7/$C$8)</f>
        <v>7</v>
      </c>
      <c r="D37" s="67" t="n">
        <f aca="false">IF(C37="","",IF($C$9="PAY",-1,1)*$C$5*1000000*($C$7/100)/$C$8)</f>
        <v>-2520000</v>
      </c>
      <c r="E37" s="67" t="n">
        <f aca="false">IF(C37="","",IF($C$9="PAY",1,-1)*$C$5*1000000*F9/$C$8)</f>
        <v>0</v>
      </c>
      <c r="F37" s="67" t="n">
        <f aca="false">IF(C37="","",D37+E37)</f>
        <v>-2520000</v>
      </c>
      <c r="G37" s="33" t="n">
        <f aca="false">IF(C37="","",(1+IF($C$10="ESTER",F5,F6))^(-C37))</f>
        <v>1</v>
      </c>
      <c r="H37" s="67" t="n">
        <f aca="false">IF(C37="","",F37*G37)</f>
        <v>-2520000</v>
      </c>
      <c r="I37" s="67" t="n">
        <f aca="false">IF(C37="","",SUM($H$31:H37))</f>
        <v>-17640000</v>
      </c>
    </row>
    <row r="38" customFormat="false" ht="18" hidden="false" customHeight="true" outlineLevel="0" collapsed="false">
      <c r="B38" s="65" t="n">
        <v>8</v>
      </c>
      <c r="C38" s="66" t="n">
        <f aca="false">IF(8&gt;$C$6*$C$8,"",8/$C$8)</f>
        <v>8</v>
      </c>
      <c r="D38" s="67" t="n">
        <f aca="false">IF(C38="","",IF($C$9="PAY",-1,1)*$C$5*1000000*($C$7/100)/$C$8)</f>
        <v>-2520000</v>
      </c>
      <c r="E38" s="67" t="n">
        <f aca="false">IF(C38="","",IF($C$9="PAY",1,-1)*$C$5*1000000*F9/$C$8)</f>
        <v>0</v>
      </c>
      <c r="F38" s="67" t="n">
        <f aca="false">IF(C38="","",D38+E38)</f>
        <v>-2520000</v>
      </c>
      <c r="G38" s="33" t="n">
        <f aca="false">IF(C38="","",(1+IF($C$10="ESTER",F5,F6))^(-C38))</f>
        <v>1</v>
      </c>
      <c r="H38" s="67" t="n">
        <f aca="false">IF(C38="","",F38*G38)</f>
        <v>-2520000</v>
      </c>
      <c r="I38" s="67" t="n">
        <f aca="false">IF(C38="","",SUM($H$31:H38))</f>
        <v>-20160000</v>
      </c>
    </row>
    <row r="39" customFormat="false" ht="18" hidden="false" customHeight="true" outlineLevel="0" collapsed="false">
      <c r="B39" s="65" t="n">
        <v>9</v>
      </c>
      <c r="C39" s="66" t="n">
        <f aca="false">IF(9&gt;$C$6*$C$8,"",9/$C$8)</f>
        <v>9</v>
      </c>
      <c r="D39" s="67" t="n">
        <f aca="false">IF(C39="","",IF($C$9="PAY",-1,1)*$C$5*1000000*($C$7/100)/$C$8)</f>
        <v>-2520000</v>
      </c>
      <c r="E39" s="67" t="n">
        <f aca="false">IF(C39="","",IF($C$9="PAY",1,-1)*$C$5*1000000*F9/$C$8)</f>
        <v>0</v>
      </c>
      <c r="F39" s="67" t="n">
        <f aca="false">IF(C39="","",D39+E39)</f>
        <v>-2520000</v>
      </c>
      <c r="G39" s="33" t="n">
        <f aca="false">IF(C39="","",(1+IF($C$10="ESTER",F5,F6))^(-C39))</f>
        <v>1</v>
      </c>
      <c r="H39" s="67" t="n">
        <f aca="false">IF(C39="","",F39*G39)</f>
        <v>-2520000</v>
      </c>
      <c r="I39" s="67" t="n">
        <f aca="false">IF(C39="","",SUM($H$31:H39))</f>
        <v>-22680000</v>
      </c>
    </row>
    <row r="40" customFormat="false" ht="18" hidden="false" customHeight="true" outlineLevel="0" collapsed="false">
      <c r="B40" s="65" t="n">
        <v>10</v>
      </c>
      <c r="C40" s="66" t="n">
        <f aca="false">IF(10&gt;$C$6*$C$8,"",10/$C$8)</f>
        <v>10</v>
      </c>
      <c r="D40" s="67" t="n">
        <f aca="false">IF(C40="","",IF($C$9="PAY",-1,1)*$C$5*1000000*($C$7/100)/$C$8)</f>
        <v>-2520000</v>
      </c>
      <c r="E40" s="67" t="n">
        <f aca="false">IF(C40="","",IF($C$9="PAY",1,-1)*$C$5*1000000*F9/$C$8)</f>
        <v>0</v>
      </c>
      <c r="F40" s="67" t="n">
        <f aca="false">IF(C40="","",D40+E40)</f>
        <v>-2520000</v>
      </c>
      <c r="G40" s="33" t="n">
        <f aca="false">IF(C40="","",(1+IF($C$10="ESTER",F5,F6))^(-C40))</f>
        <v>1</v>
      </c>
      <c r="H40" s="67" t="n">
        <f aca="false">IF(C40="","",F40*G40)</f>
        <v>-2520000</v>
      </c>
      <c r="I40" s="67" t="n">
        <f aca="false">IF(C40="","",SUM($H$31:H40))</f>
        <v>-25200000</v>
      </c>
    </row>
    <row r="41" customFormat="false" ht="18" hidden="false" customHeight="true" outlineLevel="0" collapsed="false">
      <c r="B41" s="65" t="n">
        <v>11</v>
      </c>
      <c r="C41" s="66" t="str">
        <f aca="false">IF(11&gt;$C$6*$C$8,"",11/$C$8)</f>
        <v/>
      </c>
      <c r="D41" s="67" t="str">
        <f aca="false">IF(C41="","",IF($C$9="PAY",-1,1)*$C$5*1000000*($C$7/100)/$C$8)</f>
        <v/>
      </c>
      <c r="E41" s="67" t="str">
        <f aca="false">IF(C41="","",IF($C$9="PAY",1,-1)*$C$5*1000000*F9/$C$8)</f>
        <v/>
      </c>
      <c r="F41" s="67" t="str">
        <f aca="false">IF(C41="","",D41+E41)</f>
        <v/>
      </c>
      <c r="G41" s="33" t="str">
        <f aca="false">IF(C41="","",(1+IF($C$10="ESTER",F5,F6))^(-C41))</f>
        <v/>
      </c>
      <c r="H41" s="67" t="str">
        <f aca="false">IF(C41="","",F41*G41)</f>
        <v/>
      </c>
      <c r="I41" s="67" t="str">
        <f aca="false">IF(C41="","",SUM($H$31:H41))</f>
        <v/>
      </c>
    </row>
    <row r="42" customFormat="false" ht="18" hidden="false" customHeight="true" outlineLevel="0" collapsed="false">
      <c r="B42" s="65" t="n">
        <v>12</v>
      </c>
      <c r="C42" s="66" t="str">
        <f aca="false">IF(12&gt;$C$6*$C$8,"",12/$C$8)</f>
        <v/>
      </c>
      <c r="D42" s="67" t="str">
        <f aca="false">IF(C42="","",IF($C$9="PAY",-1,1)*$C$5*1000000*($C$7/100)/$C$8)</f>
        <v/>
      </c>
      <c r="E42" s="67" t="str">
        <f aca="false">IF(C42="","",IF($C$9="PAY",1,-1)*$C$5*1000000*F9/$C$8)</f>
        <v/>
      </c>
      <c r="F42" s="67" t="str">
        <f aca="false">IF(C42="","",D42+E42)</f>
        <v/>
      </c>
      <c r="G42" s="33" t="str">
        <f aca="false">IF(C42="","",(1+IF($C$10="ESTER",F5,F6))^(-C42))</f>
        <v/>
      </c>
      <c r="H42" s="67" t="str">
        <f aca="false">IF(C42="","",F42*G42)</f>
        <v/>
      </c>
      <c r="I42" s="67" t="str">
        <f aca="false">IF(C42="","",SUM($H$31:H42))</f>
        <v/>
      </c>
    </row>
    <row r="43" customFormat="false" ht="18" hidden="false" customHeight="true" outlineLevel="0" collapsed="false">
      <c r="B43" s="65" t="n">
        <v>13</v>
      </c>
      <c r="C43" s="66" t="str">
        <f aca="false">IF(13&gt;$C$6*$C$8,"",13/$C$8)</f>
        <v/>
      </c>
      <c r="D43" s="67" t="str">
        <f aca="false">IF(C43="","",IF($C$9="PAY",-1,1)*$C$5*1000000*($C$7/100)/$C$8)</f>
        <v/>
      </c>
      <c r="E43" s="67" t="str">
        <f aca="false">IF(C43="","",IF($C$9="PAY",1,-1)*$C$5*1000000*F9/$C$8)</f>
        <v/>
      </c>
      <c r="F43" s="67" t="str">
        <f aca="false">IF(C43="","",D43+E43)</f>
        <v/>
      </c>
      <c r="G43" s="33" t="str">
        <f aca="false">IF(C43="","",(1+IF($C$10="ESTER",F5,F6))^(-C43))</f>
        <v/>
      </c>
      <c r="H43" s="67" t="str">
        <f aca="false">IF(C43="","",F43*G43)</f>
        <v/>
      </c>
      <c r="I43" s="67" t="str">
        <f aca="false">IF(C43="","",SUM($H$31:H43))</f>
        <v/>
      </c>
    </row>
    <row r="44" customFormat="false" ht="18" hidden="false" customHeight="true" outlineLevel="0" collapsed="false">
      <c r="B44" s="65" t="n">
        <v>14</v>
      </c>
      <c r="C44" s="66" t="str">
        <f aca="false">IF(14&gt;$C$6*$C$8,"",14/$C$8)</f>
        <v/>
      </c>
      <c r="D44" s="67" t="str">
        <f aca="false">IF(C44="","",IF($C$9="PAY",-1,1)*$C$5*1000000*($C$7/100)/$C$8)</f>
        <v/>
      </c>
      <c r="E44" s="67" t="str">
        <f aca="false">IF(C44="","",IF($C$9="PAY",1,-1)*$C$5*1000000*F9/$C$8)</f>
        <v/>
      </c>
      <c r="F44" s="67" t="str">
        <f aca="false">IF(C44="","",D44+E44)</f>
        <v/>
      </c>
      <c r="G44" s="33" t="str">
        <f aca="false">IF(C44="","",(1+IF($C$10="ESTER",F5,F6))^(-C44))</f>
        <v/>
      </c>
      <c r="H44" s="67" t="str">
        <f aca="false">IF(C44="","",F44*G44)</f>
        <v/>
      </c>
      <c r="I44" s="67" t="str">
        <f aca="false">IF(C44="","",SUM($H$31:H44))</f>
        <v/>
      </c>
    </row>
    <row r="45" customFormat="false" ht="18" hidden="false" customHeight="true" outlineLevel="0" collapsed="false">
      <c r="B45" s="65" t="n">
        <v>15</v>
      </c>
      <c r="C45" s="66" t="str">
        <f aca="false">IF(15&gt;$C$6*$C$8,"",15/$C$8)</f>
        <v/>
      </c>
      <c r="D45" s="67" t="str">
        <f aca="false">IF(C45="","",IF($C$9="PAY",-1,1)*$C$5*1000000*($C$7/100)/$C$8)</f>
        <v/>
      </c>
      <c r="E45" s="67" t="str">
        <f aca="false">IF(C45="","",IF($C$9="PAY",1,-1)*$C$5*1000000*F9/$C$8)</f>
        <v/>
      </c>
      <c r="F45" s="67" t="str">
        <f aca="false">IF(C45="","",D45+E45)</f>
        <v/>
      </c>
      <c r="G45" s="33" t="str">
        <f aca="false">IF(C45="","",(1+IF($C$10="ESTER",F5,F6))^(-C45))</f>
        <v/>
      </c>
      <c r="H45" s="67" t="str">
        <f aca="false">IF(C45="","",F45*G45)</f>
        <v/>
      </c>
      <c r="I45" s="67" t="str">
        <f aca="false">IF(C45="","",SUM($H$31:H45))</f>
        <v/>
      </c>
    </row>
    <row r="46" customFormat="false" ht="18" hidden="false" customHeight="true" outlineLevel="0" collapsed="false">
      <c r="B46" s="65" t="n">
        <v>16</v>
      </c>
      <c r="C46" s="66" t="str">
        <f aca="false">IF(16&gt;$C$6*$C$8,"",16/$C$8)</f>
        <v/>
      </c>
      <c r="D46" s="67" t="str">
        <f aca="false">IF(C46="","",IF($C$9="PAY",-1,1)*$C$5*1000000*($C$7/100)/$C$8)</f>
        <v/>
      </c>
      <c r="E46" s="67" t="str">
        <f aca="false">IF(C46="","",IF($C$9="PAY",1,-1)*$C$5*1000000*F9/$C$8)</f>
        <v/>
      </c>
      <c r="F46" s="67" t="str">
        <f aca="false">IF(C46="","",D46+E46)</f>
        <v/>
      </c>
      <c r="G46" s="33" t="str">
        <f aca="false">IF(C46="","",(1+IF($C$10="ESTER",F5,F6))^(-C46))</f>
        <v/>
      </c>
      <c r="H46" s="67" t="str">
        <f aca="false">IF(C46="","",F46*G46)</f>
        <v/>
      </c>
      <c r="I46" s="67" t="str">
        <f aca="false">IF(C46="","",SUM($H$31:H46))</f>
        <v/>
      </c>
    </row>
    <row r="47" customFormat="false" ht="18" hidden="false" customHeight="true" outlineLevel="0" collapsed="false">
      <c r="B47" s="65" t="n">
        <v>17</v>
      </c>
      <c r="C47" s="66" t="str">
        <f aca="false">IF(17&gt;$C$6*$C$8,"",17/$C$8)</f>
        <v/>
      </c>
      <c r="D47" s="67" t="str">
        <f aca="false">IF(C47="","",IF($C$9="PAY",-1,1)*$C$5*1000000*($C$7/100)/$C$8)</f>
        <v/>
      </c>
      <c r="E47" s="67" t="str">
        <f aca="false">IF(C47="","",IF($C$9="PAY",1,-1)*$C$5*1000000*F9/$C$8)</f>
        <v/>
      </c>
      <c r="F47" s="67" t="str">
        <f aca="false">IF(C47="","",D47+E47)</f>
        <v/>
      </c>
      <c r="G47" s="33" t="str">
        <f aca="false">IF(C47="","",(1+IF($C$10="ESTER",F5,F6))^(-C47))</f>
        <v/>
      </c>
      <c r="H47" s="67" t="str">
        <f aca="false">IF(C47="","",F47*G47)</f>
        <v/>
      </c>
      <c r="I47" s="67" t="str">
        <f aca="false">IF(C47="","",SUM($H$31:H47))</f>
        <v/>
      </c>
    </row>
    <row r="48" customFormat="false" ht="18" hidden="false" customHeight="true" outlineLevel="0" collapsed="false">
      <c r="B48" s="65" t="n">
        <v>18</v>
      </c>
      <c r="C48" s="66" t="str">
        <f aca="false">IF(18&gt;$C$6*$C$8,"",18/$C$8)</f>
        <v/>
      </c>
      <c r="D48" s="67" t="str">
        <f aca="false">IF(C48="","",IF($C$9="PAY",-1,1)*$C$5*1000000*($C$7/100)/$C$8)</f>
        <v/>
      </c>
      <c r="E48" s="67" t="str">
        <f aca="false">IF(C48="","",IF($C$9="PAY",1,-1)*$C$5*1000000*F9/$C$8)</f>
        <v/>
      </c>
      <c r="F48" s="67" t="str">
        <f aca="false">IF(C48="","",D48+E48)</f>
        <v/>
      </c>
      <c r="G48" s="33" t="str">
        <f aca="false">IF(C48="","",(1+IF($C$10="ESTER",F5,F6))^(-C48))</f>
        <v/>
      </c>
      <c r="H48" s="67" t="str">
        <f aca="false">IF(C48="","",F48*G48)</f>
        <v/>
      </c>
      <c r="I48" s="67" t="str">
        <f aca="false">IF(C48="","",SUM($H$31:H48))</f>
        <v/>
      </c>
    </row>
    <row r="49" customFormat="false" ht="18" hidden="false" customHeight="true" outlineLevel="0" collapsed="false">
      <c r="B49" s="65" t="n">
        <v>19</v>
      </c>
      <c r="C49" s="66" t="str">
        <f aca="false">IF(19&gt;$C$6*$C$8,"",19/$C$8)</f>
        <v/>
      </c>
      <c r="D49" s="67" t="str">
        <f aca="false">IF(C49="","",IF($C$9="PAY",-1,1)*$C$5*1000000*($C$7/100)/$C$8)</f>
        <v/>
      </c>
      <c r="E49" s="67" t="str">
        <f aca="false">IF(C49="","",IF($C$9="PAY",1,-1)*$C$5*1000000*F9/$C$8)</f>
        <v/>
      </c>
      <c r="F49" s="67" t="str">
        <f aca="false">IF(C49="","",D49+E49)</f>
        <v/>
      </c>
      <c r="G49" s="33" t="str">
        <f aca="false">IF(C49="","",(1+IF($C$10="ESTER",F5,F6))^(-C49))</f>
        <v/>
      </c>
      <c r="H49" s="67" t="str">
        <f aca="false">IF(C49="","",F49*G49)</f>
        <v/>
      </c>
      <c r="I49" s="67" t="str">
        <f aca="false">IF(C49="","",SUM($H$31:H49))</f>
        <v/>
      </c>
    </row>
    <row r="50" customFormat="false" ht="18" hidden="false" customHeight="true" outlineLevel="0" collapsed="false">
      <c r="B50" s="65" t="n">
        <v>20</v>
      </c>
      <c r="C50" s="66" t="str">
        <f aca="false">IF(20&gt;$C$6*$C$8,"",20/$C$8)</f>
        <v/>
      </c>
      <c r="D50" s="67" t="str">
        <f aca="false">IF(C50="","",IF($C$9="PAY",-1,1)*$C$5*1000000*($C$7/100)/$C$8)</f>
        <v/>
      </c>
      <c r="E50" s="67" t="str">
        <f aca="false">IF(C50="","",IF($C$9="PAY",1,-1)*$C$5*1000000*F9/$C$8)</f>
        <v/>
      </c>
      <c r="F50" s="67" t="str">
        <f aca="false">IF(C50="","",D50+E50)</f>
        <v/>
      </c>
      <c r="G50" s="33" t="str">
        <f aca="false">IF(C50="","",(1+IF($C$10="ESTER",F5,F6))^(-C50))</f>
        <v/>
      </c>
      <c r="H50" s="67" t="str">
        <f aca="false">IF(C50="","",F50*G50)</f>
        <v/>
      </c>
      <c r="I50" s="67" t="str">
        <f aca="false">IF(C50="","",SUM($H$31:H50))</f>
        <v/>
      </c>
    </row>
    <row r="51" customFormat="false" ht="18" hidden="false" customHeight="true" outlineLevel="0" collapsed="false">
      <c r="B51" s="65" t="n">
        <v>21</v>
      </c>
      <c r="C51" s="66" t="str">
        <f aca="false">IF(21&gt;$C$6*$C$8,"",21/$C$8)</f>
        <v/>
      </c>
      <c r="D51" s="67" t="str">
        <f aca="false">IF(C51="","",IF($C$9="PAY",-1,1)*$C$5*1000000*($C$7/100)/$C$8)</f>
        <v/>
      </c>
      <c r="E51" s="67" t="str">
        <f aca="false">IF(C51="","",IF($C$9="PAY",1,-1)*$C$5*1000000*F9/$C$8)</f>
        <v/>
      </c>
      <c r="F51" s="67" t="str">
        <f aca="false">IF(C51="","",D51+E51)</f>
        <v/>
      </c>
      <c r="G51" s="33" t="str">
        <f aca="false">IF(C51="","",(1+IF($C$10="ESTER",F5,F6))^(-C51))</f>
        <v/>
      </c>
      <c r="H51" s="67" t="str">
        <f aca="false">IF(C51="","",F51*G51)</f>
        <v/>
      </c>
      <c r="I51" s="67" t="str">
        <f aca="false">IF(C51="","",SUM($H$31:H51))</f>
        <v/>
      </c>
    </row>
    <row r="52" customFormat="false" ht="18" hidden="false" customHeight="true" outlineLevel="0" collapsed="false">
      <c r="B52" s="65" t="n">
        <v>22</v>
      </c>
      <c r="C52" s="66" t="str">
        <f aca="false">IF(22&gt;$C$6*$C$8,"",22/$C$8)</f>
        <v/>
      </c>
      <c r="D52" s="67" t="str">
        <f aca="false">IF(C52="","",IF($C$9="PAY",-1,1)*$C$5*1000000*($C$7/100)/$C$8)</f>
        <v/>
      </c>
      <c r="E52" s="67" t="str">
        <f aca="false">IF(C52="","",IF($C$9="PAY",1,-1)*$C$5*1000000*F9/$C$8)</f>
        <v/>
      </c>
      <c r="F52" s="67" t="str">
        <f aca="false">IF(C52="","",D52+E52)</f>
        <v/>
      </c>
      <c r="G52" s="33" t="str">
        <f aca="false">IF(C52="","",(1+IF($C$10="ESTER",F5,F6))^(-C52))</f>
        <v/>
      </c>
      <c r="H52" s="67" t="str">
        <f aca="false">IF(C52="","",F52*G52)</f>
        <v/>
      </c>
      <c r="I52" s="67" t="str">
        <f aca="false">IF(C52="","",SUM($H$31:H52))</f>
        <v/>
      </c>
    </row>
    <row r="53" customFormat="false" ht="18" hidden="false" customHeight="true" outlineLevel="0" collapsed="false">
      <c r="B53" s="65" t="n">
        <v>23</v>
      </c>
      <c r="C53" s="66" t="str">
        <f aca="false">IF(23&gt;$C$6*$C$8,"",23/$C$8)</f>
        <v/>
      </c>
      <c r="D53" s="67" t="str">
        <f aca="false">IF(C53="","",IF($C$9="PAY",-1,1)*$C$5*1000000*($C$7/100)/$C$8)</f>
        <v/>
      </c>
      <c r="E53" s="67" t="str">
        <f aca="false">IF(C53="","",IF($C$9="PAY",1,-1)*$C$5*1000000*F9/$C$8)</f>
        <v/>
      </c>
      <c r="F53" s="67" t="str">
        <f aca="false">IF(C53="","",D53+E53)</f>
        <v/>
      </c>
      <c r="G53" s="33" t="str">
        <f aca="false">IF(C53="","",(1+IF($C$10="ESTER",F5,F6))^(-C53))</f>
        <v/>
      </c>
      <c r="H53" s="67" t="str">
        <f aca="false">IF(C53="","",F53*G53)</f>
        <v/>
      </c>
      <c r="I53" s="67" t="str">
        <f aca="false">IF(C53="","",SUM($H$31:H53))</f>
        <v/>
      </c>
    </row>
    <row r="54" customFormat="false" ht="18" hidden="false" customHeight="true" outlineLevel="0" collapsed="false">
      <c r="B54" s="65" t="n">
        <v>24</v>
      </c>
      <c r="C54" s="66" t="str">
        <f aca="false">IF(24&gt;$C$6*$C$8,"",24/$C$8)</f>
        <v/>
      </c>
      <c r="D54" s="67" t="str">
        <f aca="false">IF(C54="","",IF($C$9="PAY",-1,1)*$C$5*1000000*($C$7/100)/$C$8)</f>
        <v/>
      </c>
      <c r="E54" s="67" t="str">
        <f aca="false">IF(C54="","",IF($C$9="PAY",1,-1)*$C$5*1000000*F9/$C$8)</f>
        <v/>
      </c>
      <c r="F54" s="67" t="str">
        <f aca="false">IF(C54="","",D54+E54)</f>
        <v/>
      </c>
      <c r="G54" s="33" t="str">
        <f aca="false">IF(C54="","",(1+IF($C$10="ESTER",F5,F6))^(-C54))</f>
        <v/>
      </c>
      <c r="H54" s="67" t="str">
        <f aca="false">IF(C54="","",F54*G54)</f>
        <v/>
      </c>
      <c r="I54" s="67" t="str">
        <f aca="false">IF(C54="","",SUM($H$31:H54))</f>
        <v/>
      </c>
    </row>
    <row r="55" customFormat="false" ht="18" hidden="false" customHeight="true" outlineLevel="0" collapsed="false">
      <c r="B55" s="65" t="n">
        <v>25</v>
      </c>
      <c r="C55" s="66" t="str">
        <f aca="false">IF(25&gt;$C$6*$C$8,"",25/$C$8)</f>
        <v/>
      </c>
      <c r="D55" s="67" t="str">
        <f aca="false">IF(C55="","",IF($C$9="PAY",-1,1)*$C$5*1000000*($C$7/100)/$C$8)</f>
        <v/>
      </c>
      <c r="E55" s="67" t="str">
        <f aca="false">IF(C55="","",IF($C$9="PAY",1,-1)*$C$5*1000000*F9/$C$8)</f>
        <v/>
      </c>
      <c r="F55" s="67" t="str">
        <f aca="false">IF(C55="","",D55+E55)</f>
        <v/>
      </c>
      <c r="G55" s="33" t="str">
        <f aca="false">IF(C55="","",(1+IF($C$10="ESTER",F5,F6))^(-C55))</f>
        <v/>
      </c>
      <c r="H55" s="67" t="str">
        <f aca="false">IF(C55="","",F55*G55)</f>
        <v/>
      </c>
      <c r="I55" s="67" t="str">
        <f aca="false">IF(C55="","",SUM($H$31:H55))</f>
        <v/>
      </c>
    </row>
    <row r="56" customFormat="false" ht="18" hidden="false" customHeight="true" outlineLevel="0" collapsed="false">
      <c r="B56" s="65" t="n">
        <v>26</v>
      </c>
      <c r="C56" s="66" t="str">
        <f aca="false">IF(26&gt;$C$6*$C$8,"",26/$C$8)</f>
        <v/>
      </c>
      <c r="D56" s="67" t="str">
        <f aca="false">IF(C56="","",IF($C$9="PAY",-1,1)*$C$5*1000000*($C$7/100)/$C$8)</f>
        <v/>
      </c>
      <c r="E56" s="67" t="str">
        <f aca="false">IF(C56="","",IF($C$9="PAY",1,-1)*$C$5*1000000*F9/$C$8)</f>
        <v/>
      </c>
      <c r="F56" s="67" t="str">
        <f aca="false">IF(C56="","",D56+E56)</f>
        <v/>
      </c>
      <c r="G56" s="33" t="str">
        <f aca="false">IF(C56="","",(1+IF($C$10="ESTER",F5,F6))^(-C56))</f>
        <v/>
      </c>
      <c r="H56" s="67" t="str">
        <f aca="false">IF(C56="","",F56*G56)</f>
        <v/>
      </c>
      <c r="I56" s="67" t="str">
        <f aca="false">IF(C56="","",SUM($H$31:H56))</f>
        <v/>
      </c>
    </row>
    <row r="57" customFormat="false" ht="18" hidden="false" customHeight="true" outlineLevel="0" collapsed="false">
      <c r="B57" s="65" t="n">
        <v>27</v>
      </c>
      <c r="C57" s="66" t="str">
        <f aca="false">IF(27&gt;$C$6*$C$8,"",27/$C$8)</f>
        <v/>
      </c>
      <c r="D57" s="67" t="str">
        <f aca="false">IF(C57="","",IF($C$9="PAY",-1,1)*$C$5*1000000*($C$7/100)/$C$8)</f>
        <v/>
      </c>
      <c r="E57" s="67" t="str">
        <f aca="false">IF(C57="","",IF($C$9="PAY",1,-1)*$C$5*1000000*F9/$C$8)</f>
        <v/>
      </c>
      <c r="F57" s="67" t="str">
        <f aca="false">IF(C57="","",D57+E57)</f>
        <v/>
      </c>
      <c r="G57" s="33" t="str">
        <f aca="false">IF(C57="","",(1+IF($C$10="ESTER",F5,F6))^(-C57))</f>
        <v/>
      </c>
      <c r="H57" s="67" t="str">
        <f aca="false">IF(C57="","",F57*G57)</f>
        <v/>
      </c>
      <c r="I57" s="67" t="str">
        <f aca="false">IF(C57="","",SUM($H$31:H57))</f>
        <v/>
      </c>
    </row>
    <row r="58" customFormat="false" ht="18" hidden="false" customHeight="true" outlineLevel="0" collapsed="false">
      <c r="B58" s="65" t="n">
        <v>28</v>
      </c>
      <c r="C58" s="66" t="str">
        <f aca="false">IF(28&gt;$C$6*$C$8,"",28/$C$8)</f>
        <v/>
      </c>
      <c r="D58" s="67" t="str">
        <f aca="false">IF(C58="","",IF($C$9="PAY",-1,1)*$C$5*1000000*($C$7/100)/$C$8)</f>
        <v/>
      </c>
      <c r="E58" s="67" t="str">
        <f aca="false">IF(C58="","",IF($C$9="PAY",1,-1)*$C$5*1000000*F9/$C$8)</f>
        <v/>
      </c>
      <c r="F58" s="67" t="str">
        <f aca="false">IF(C58="","",D58+E58)</f>
        <v/>
      </c>
      <c r="G58" s="33" t="str">
        <f aca="false">IF(C58="","",(1+IF($C$10="ESTER",F5,F6))^(-C58))</f>
        <v/>
      </c>
      <c r="H58" s="67" t="str">
        <f aca="false">IF(C58="","",F58*G58)</f>
        <v/>
      </c>
      <c r="I58" s="67" t="str">
        <f aca="false">IF(C58="","",SUM($H$31:H58))</f>
        <v/>
      </c>
    </row>
    <row r="59" customFormat="false" ht="18" hidden="false" customHeight="true" outlineLevel="0" collapsed="false">
      <c r="B59" s="65" t="n">
        <v>29</v>
      </c>
      <c r="C59" s="66" t="str">
        <f aca="false">IF(29&gt;$C$6*$C$8,"",29/$C$8)</f>
        <v/>
      </c>
      <c r="D59" s="67" t="str">
        <f aca="false">IF(C59="","",IF($C$9="PAY",-1,1)*$C$5*1000000*($C$7/100)/$C$8)</f>
        <v/>
      </c>
      <c r="E59" s="67" t="str">
        <f aca="false">IF(C59="","",IF($C$9="PAY",1,-1)*$C$5*1000000*F9/$C$8)</f>
        <v/>
      </c>
      <c r="F59" s="67" t="str">
        <f aca="false">IF(C59="","",D59+E59)</f>
        <v/>
      </c>
      <c r="G59" s="33" t="str">
        <f aca="false">IF(C59="","",(1+IF($C$10="ESTER",F5,F6))^(-C59))</f>
        <v/>
      </c>
      <c r="H59" s="67" t="str">
        <f aca="false">IF(C59="","",F59*G59)</f>
        <v/>
      </c>
      <c r="I59" s="67" t="str">
        <f aca="false">IF(C59="","",SUM($H$31:H59))</f>
        <v/>
      </c>
    </row>
    <row r="60" customFormat="false" ht="18" hidden="false" customHeight="true" outlineLevel="0" collapsed="false">
      <c r="B60" s="65" t="n">
        <v>30</v>
      </c>
      <c r="C60" s="66" t="str">
        <f aca="false">IF(30&gt;$C$6*$C$8,"",30/$C$8)</f>
        <v/>
      </c>
      <c r="D60" s="67" t="str">
        <f aca="false">IF(C60="","",IF($C$9="PAY",-1,1)*$C$5*1000000*($C$7/100)/$C$8)</f>
        <v/>
      </c>
      <c r="E60" s="67" t="str">
        <f aca="false">IF(C60="","",IF($C$9="PAY",1,-1)*$C$5*1000000*F9/$C$8)</f>
        <v/>
      </c>
      <c r="F60" s="67" t="str">
        <f aca="false">IF(C60="","",D60+E60)</f>
        <v/>
      </c>
      <c r="G60" s="33" t="str">
        <f aca="false">IF(C60="","",(1+IF($C$10="ESTER",F5,F6))^(-C60))</f>
        <v/>
      </c>
      <c r="H60" s="67" t="str">
        <f aca="false">IF(C60="","",F60*G60)</f>
        <v/>
      </c>
      <c r="I60" s="67" t="str">
        <f aca="false">IF(C60="","",SUM($H$31:H60))</f>
        <v/>
      </c>
    </row>
    <row r="61" customFormat="false" ht="18" hidden="false" customHeight="true" outlineLevel="0" collapsed="false">
      <c r="B61" s="65" t="n">
        <v>31</v>
      </c>
      <c r="C61" s="66" t="str">
        <f aca="false">IF(31&gt;$C$6*$C$8,"",31/$C$8)</f>
        <v/>
      </c>
      <c r="D61" s="67" t="str">
        <f aca="false">IF(C61="","",IF($C$9="PAY",-1,1)*$C$5*1000000*($C$7/100)/$C$8)</f>
        <v/>
      </c>
      <c r="E61" s="67" t="str">
        <f aca="false">IF(C61="","",IF($C$9="PAY",1,-1)*$C$5*1000000*F9/$C$8)</f>
        <v/>
      </c>
      <c r="F61" s="67" t="str">
        <f aca="false">IF(C61="","",D61+E61)</f>
        <v/>
      </c>
      <c r="G61" s="33" t="str">
        <f aca="false">IF(C61="","",(1+IF($C$10="ESTER",F5,F6))^(-C61))</f>
        <v/>
      </c>
      <c r="H61" s="67" t="str">
        <f aca="false">IF(C61="","",F61*G61)</f>
        <v/>
      </c>
      <c r="I61" s="67" t="str">
        <f aca="false">IF(C61="","",SUM($H$31:H61))</f>
        <v/>
      </c>
    </row>
    <row r="62" customFormat="false" ht="18" hidden="false" customHeight="true" outlineLevel="0" collapsed="false">
      <c r="B62" s="65" t="n">
        <v>32</v>
      </c>
      <c r="C62" s="66" t="str">
        <f aca="false">IF(32&gt;$C$6*$C$8,"",32/$C$8)</f>
        <v/>
      </c>
      <c r="D62" s="67" t="str">
        <f aca="false">IF(C62="","",IF($C$9="PAY",-1,1)*$C$5*1000000*($C$7/100)/$C$8)</f>
        <v/>
      </c>
      <c r="E62" s="67" t="str">
        <f aca="false">IF(C62="","",IF($C$9="PAY",1,-1)*$C$5*1000000*F9/$C$8)</f>
        <v/>
      </c>
      <c r="F62" s="67" t="str">
        <f aca="false">IF(C62="","",D62+E62)</f>
        <v/>
      </c>
      <c r="G62" s="33" t="str">
        <f aca="false">IF(C62="","",(1+IF($C$10="ESTER",F5,F6))^(-C62))</f>
        <v/>
      </c>
      <c r="H62" s="67" t="str">
        <f aca="false">IF(C62="","",F62*G62)</f>
        <v/>
      </c>
      <c r="I62" s="67" t="str">
        <f aca="false">IF(C62="","",SUM($H$31:H62))</f>
        <v/>
      </c>
    </row>
    <row r="63" customFormat="false" ht="18" hidden="false" customHeight="true" outlineLevel="0" collapsed="false">
      <c r="B63" s="65" t="n">
        <v>33</v>
      </c>
      <c r="C63" s="66" t="str">
        <f aca="false">IF(33&gt;$C$6*$C$8,"",33/$C$8)</f>
        <v/>
      </c>
      <c r="D63" s="67" t="str">
        <f aca="false">IF(C63="","",IF($C$9="PAY",-1,1)*$C$5*1000000*($C$7/100)/$C$8)</f>
        <v/>
      </c>
      <c r="E63" s="67" t="str">
        <f aca="false">IF(C63="","",IF($C$9="PAY",1,-1)*$C$5*1000000*F9/$C$8)</f>
        <v/>
      </c>
      <c r="F63" s="67" t="str">
        <f aca="false">IF(C63="","",D63+E63)</f>
        <v/>
      </c>
      <c r="G63" s="33" t="str">
        <f aca="false">IF(C63="","",(1+IF($C$10="ESTER",F5,F6))^(-C63))</f>
        <v/>
      </c>
      <c r="H63" s="67" t="str">
        <f aca="false">IF(C63="","",F63*G63)</f>
        <v/>
      </c>
      <c r="I63" s="67" t="str">
        <f aca="false">IF(C63="","",SUM($H$31:H63))</f>
        <v/>
      </c>
    </row>
    <row r="64" customFormat="false" ht="18" hidden="false" customHeight="true" outlineLevel="0" collapsed="false">
      <c r="B64" s="65" t="n">
        <v>34</v>
      </c>
      <c r="C64" s="66" t="str">
        <f aca="false">IF(34&gt;$C$6*$C$8,"",34/$C$8)</f>
        <v/>
      </c>
      <c r="D64" s="67" t="str">
        <f aca="false">IF(C64="","",IF($C$9="PAY",-1,1)*$C$5*1000000*($C$7/100)/$C$8)</f>
        <v/>
      </c>
      <c r="E64" s="67" t="str">
        <f aca="false">IF(C64="","",IF($C$9="PAY",1,-1)*$C$5*1000000*F9/$C$8)</f>
        <v/>
      </c>
      <c r="F64" s="67" t="str">
        <f aca="false">IF(C64="","",D64+E64)</f>
        <v/>
      </c>
      <c r="G64" s="33" t="str">
        <f aca="false">IF(C64="","",(1+IF($C$10="ESTER",F5,F6))^(-C64))</f>
        <v/>
      </c>
      <c r="H64" s="67" t="str">
        <f aca="false">IF(C64="","",F64*G64)</f>
        <v/>
      </c>
      <c r="I64" s="67" t="str">
        <f aca="false">IF(C64="","",SUM($H$31:H64))</f>
        <v/>
      </c>
    </row>
    <row r="65" customFormat="false" ht="18" hidden="false" customHeight="true" outlineLevel="0" collapsed="false">
      <c r="B65" s="65" t="n">
        <v>35</v>
      </c>
      <c r="C65" s="66" t="str">
        <f aca="false">IF(35&gt;$C$6*$C$8,"",35/$C$8)</f>
        <v/>
      </c>
      <c r="D65" s="67" t="str">
        <f aca="false">IF(C65="","",IF($C$9="PAY",-1,1)*$C$5*1000000*($C$7/100)/$C$8)</f>
        <v/>
      </c>
      <c r="E65" s="67" t="str">
        <f aca="false">IF(C65="","",IF($C$9="PAY",1,-1)*$C$5*1000000*F9/$C$8)</f>
        <v/>
      </c>
      <c r="F65" s="67" t="str">
        <f aca="false">IF(C65="","",D65+E65)</f>
        <v/>
      </c>
      <c r="G65" s="33" t="str">
        <f aca="false">IF(C65="","",(1+IF($C$10="ESTER",F5,F6))^(-C65))</f>
        <v/>
      </c>
      <c r="H65" s="67" t="str">
        <f aca="false">IF(C65="","",F65*G65)</f>
        <v/>
      </c>
      <c r="I65" s="67" t="str">
        <f aca="false">IF(C65="","",SUM($H$31:H65))</f>
        <v/>
      </c>
    </row>
    <row r="66" customFormat="false" ht="18" hidden="false" customHeight="true" outlineLevel="0" collapsed="false">
      <c r="B66" s="65" t="n">
        <v>36</v>
      </c>
      <c r="C66" s="66" t="str">
        <f aca="false">IF(36&gt;$C$6*$C$8,"",36/$C$8)</f>
        <v/>
      </c>
      <c r="D66" s="67" t="str">
        <f aca="false">IF(C66="","",IF($C$9="PAY",-1,1)*$C$5*1000000*($C$7/100)/$C$8)</f>
        <v/>
      </c>
      <c r="E66" s="67" t="str">
        <f aca="false">IF(C66="","",IF($C$9="PAY",1,-1)*$C$5*1000000*F9/$C$8)</f>
        <v/>
      </c>
      <c r="F66" s="67" t="str">
        <f aca="false">IF(C66="","",D66+E66)</f>
        <v/>
      </c>
      <c r="G66" s="33" t="str">
        <f aca="false">IF(C66="","",(1+IF($C$10="ESTER",F5,F6))^(-C66))</f>
        <v/>
      </c>
      <c r="H66" s="67" t="str">
        <f aca="false">IF(C66="","",F66*G66)</f>
        <v/>
      </c>
      <c r="I66" s="67" t="str">
        <f aca="false">IF(C66="","",SUM($H$31:H66))</f>
        <v/>
      </c>
    </row>
    <row r="67" customFormat="false" ht="18" hidden="false" customHeight="true" outlineLevel="0" collapsed="false">
      <c r="B67" s="65" t="n">
        <v>37</v>
      </c>
      <c r="C67" s="66" t="str">
        <f aca="false">IF(37&gt;$C$6*$C$8,"",37/$C$8)</f>
        <v/>
      </c>
      <c r="D67" s="67" t="str">
        <f aca="false">IF(C67="","",IF($C$9="PAY",-1,1)*$C$5*1000000*($C$7/100)/$C$8)</f>
        <v/>
      </c>
      <c r="E67" s="67" t="str">
        <f aca="false">IF(C67="","",IF($C$9="PAY",1,-1)*$C$5*1000000*F9/$C$8)</f>
        <v/>
      </c>
      <c r="F67" s="67" t="str">
        <f aca="false">IF(C67="","",D67+E67)</f>
        <v/>
      </c>
      <c r="G67" s="33" t="str">
        <f aca="false">IF(C67="","",(1+IF($C$10="ESTER",F5,F6))^(-C67))</f>
        <v/>
      </c>
      <c r="H67" s="67" t="str">
        <f aca="false">IF(C67="","",F67*G67)</f>
        <v/>
      </c>
      <c r="I67" s="67" t="str">
        <f aca="false">IF(C67="","",SUM($H$31:H67))</f>
        <v/>
      </c>
    </row>
    <row r="68" customFormat="false" ht="18" hidden="false" customHeight="true" outlineLevel="0" collapsed="false">
      <c r="B68" s="65" t="n">
        <v>38</v>
      </c>
      <c r="C68" s="66" t="str">
        <f aca="false">IF(38&gt;$C$6*$C$8,"",38/$C$8)</f>
        <v/>
      </c>
      <c r="D68" s="67" t="str">
        <f aca="false">IF(C68="","",IF($C$9="PAY",-1,1)*$C$5*1000000*($C$7/100)/$C$8)</f>
        <v/>
      </c>
      <c r="E68" s="67" t="str">
        <f aca="false">IF(C68="","",IF($C$9="PAY",1,-1)*$C$5*1000000*F9/$C$8)</f>
        <v/>
      </c>
      <c r="F68" s="67" t="str">
        <f aca="false">IF(C68="","",D68+E68)</f>
        <v/>
      </c>
      <c r="G68" s="33" t="str">
        <f aca="false">IF(C68="","",(1+IF($C$10="ESTER",F5,F6))^(-C68))</f>
        <v/>
      </c>
      <c r="H68" s="67" t="str">
        <f aca="false">IF(C68="","",F68*G68)</f>
        <v/>
      </c>
      <c r="I68" s="67" t="str">
        <f aca="false">IF(C68="","",SUM($H$31:H68))</f>
        <v/>
      </c>
    </row>
    <row r="69" customFormat="false" ht="18" hidden="false" customHeight="true" outlineLevel="0" collapsed="false">
      <c r="B69" s="65" t="n">
        <v>39</v>
      </c>
      <c r="C69" s="66" t="str">
        <f aca="false">IF(39&gt;$C$6*$C$8,"",39/$C$8)</f>
        <v/>
      </c>
      <c r="D69" s="67" t="str">
        <f aca="false">IF(C69="","",IF($C$9="PAY",-1,1)*$C$5*1000000*($C$7/100)/$C$8)</f>
        <v/>
      </c>
      <c r="E69" s="67" t="str">
        <f aca="false">IF(C69="","",IF($C$9="PAY",1,-1)*$C$5*1000000*F9/$C$8)</f>
        <v/>
      </c>
      <c r="F69" s="67" t="str">
        <f aca="false">IF(C69="","",D69+E69)</f>
        <v/>
      </c>
      <c r="G69" s="33" t="str">
        <f aca="false">IF(C69="","",(1+IF($C$10="ESTER",F5,F6))^(-C69))</f>
        <v/>
      </c>
      <c r="H69" s="67" t="str">
        <f aca="false">IF(C69="","",F69*G69)</f>
        <v/>
      </c>
      <c r="I69" s="67" t="str">
        <f aca="false">IF(C69="","",SUM($H$31:H69))</f>
        <v/>
      </c>
    </row>
    <row r="70" customFormat="false" ht="18" hidden="false" customHeight="true" outlineLevel="0" collapsed="false">
      <c r="B70" s="65" t="n">
        <v>40</v>
      </c>
      <c r="C70" s="66" t="str">
        <f aca="false">IF(40&gt;$C$6*$C$8,"",40/$C$8)</f>
        <v/>
      </c>
      <c r="D70" s="67" t="str">
        <f aca="false">IF(C70="","",IF($C$9="PAY",-1,1)*$C$5*1000000*($C$7/100)/$C$8)</f>
        <v/>
      </c>
      <c r="E70" s="67" t="str">
        <f aca="false">IF(C70="","",IF($C$9="PAY",1,-1)*$C$5*1000000*F9/$C$8)</f>
        <v/>
      </c>
      <c r="F70" s="67" t="str">
        <f aca="false">IF(C70="","",D70+E70)</f>
        <v/>
      </c>
      <c r="G70" s="33" t="str">
        <f aca="false">IF(C70="","",(1+IF($C$10="ESTER",F5,F6))^(-C70))</f>
        <v/>
      </c>
      <c r="H70" s="67" t="str">
        <f aca="false">IF(C70="","",F70*G70)</f>
        <v/>
      </c>
      <c r="I70" s="67" t="str">
        <f aca="false">IF(C70="","",SUM($H$31:H70))</f>
        <v/>
      </c>
    </row>
  </sheetData>
  <mergeCells count="6">
    <mergeCell ref="B1:K1"/>
    <mergeCell ref="B2:K2"/>
    <mergeCell ref="B4:D4"/>
    <mergeCell ref="E4:H4"/>
    <mergeCell ref="B14:D14"/>
    <mergeCell ref="B29:K29"/>
  </mergeCells>
  <dataValidations count="2">
    <dataValidation allowBlank="false" errorStyle="stop" operator="between" showDropDown="false" showErrorMessage="false" showInputMessage="false" sqref="C9" type="list">
      <formula1>"PAY,RECEIVE"</formula1>
      <formula2>0</formula2>
    </dataValidation>
    <dataValidation allowBlank="false" errorStyle="stop" operator="between" showDropDown="false" showErrorMessage="false" showInputMessage="false" sqref="C10" type="list">
      <formula1>"ESTER,EURIB6M"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0080"/>
    <pageSetUpPr fitToPage="false"/>
  </sheetPr>
  <dimension ref="B1:M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13" min="3" style="1" width="14"/>
  </cols>
  <sheetData>
    <row r="1" customFormat="false" ht="37.5" hidden="false" customHeight="true" outlineLevel="0" collapsed="false">
      <c r="B1" s="22" t="s">
        <v>167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customFormat="false" ht="19.5" hidden="false" customHeight="true" outlineLevel="0" collapsed="false">
      <c r="B2" s="23" t="s">
        <v>168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customFormat="false" ht="7.5" hidden="false" customHeight="true" outlineLevel="0" collapsed="false"/>
    <row r="4" customFormat="false" ht="25.5" hidden="false" customHeight="true" outlineLevel="0" collapsed="false">
      <c r="B4" s="68" t="s">
        <v>169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customFormat="false" ht="19.5" hidden="false" customHeight="true" outlineLevel="0" collapsed="false">
      <c r="B5" s="20" t="s">
        <v>170</v>
      </c>
    </row>
    <row r="6" customFormat="false" ht="21.75" hidden="false" customHeight="true" outlineLevel="0" collapsed="false">
      <c r="C6" s="12" t="s">
        <v>26</v>
      </c>
      <c r="D6" s="12" t="s">
        <v>30</v>
      </c>
      <c r="E6" s="12" t="s">
        <v>33</v>
      </c>
      <c r="F6" s="69" t="s">
        <v>7</v>
      </c>
    </row>
    <row r="7" customFormat="false" ht="21.75" hidden="false" customHeight="true" outlineLevel="0" collapsed="false">
      <c r="B7" s="20" t="s">
        <v>171</v>
      </c>
      <c r="C7" s="70" t="n">
        <f aca="false">IFERROR(SUMPRODUCT((BOOK!H8:H107=2)*BOOK!Q8:Q107),0)</f>
        <v>0</v>
      </c>
      <c r="D7" s="70" t="n">
        <f aca="false">IFERROR(SUMPRODUCT((BOOK!H8:H107=10)*BOOK!Q8:Q107),0)</f>
        <v>0</v>
      </c>
      <c r="E7" s="70" t="n">
        <f aca="false">IFERROR(SUMPRODUCT((BOOK!H8:H107=30)*BOOK!Q8:Q107),0)</f>
        <v>0</v>
      </c>
      <c r="F7" s="71" t="n">
        <f aca="false">SUM(C7,D7,E7)</f>
        <v>0</v>
      </c>
    </row>
    <row r="9" customFormat="false" ht="19.5" hidden="false" customHeight="true" outlineLevel="0" collapsed="false">
      <c r="B9" s="20" t="s">
        <v>172</v>
      </c>
    </row>
    <row r="10" customFormat="false" ht="21.75" hidden="false" customHeight="true" outlineLevel="0" collapsed="false">
      <c r="C10" s="10" t="s">
        <v>26</v>
      </c>
      <c r="D10" s="10" t="s">
        <v>30</v>
      </c>
      <c r="E10" s="10" t="s">
        <v>33</v>
      </c>
    </row>
    <row r="11" customFormat="false" ht="19.5" hidden="false" customHeight="true" outlineLevel="0" collapsed="false">
      <c r="B11" s="10" t="s">
        <v>26</v>
      </c>
      <c r="C11" s="72" t="n">
        <v>5487.2</v>
      </c>
      <c r="D11" s="73" t="n">
        <v>2284.2</v>
      </c>
      <c r="E11" s="73" t="n">
        <v>307.5</v>
      </c>
    </row>
    <row r="12" customFormat="false" ht="19.5" hidden="false" customHeight="true" outlineLevel="0" collapsed="false">
      <c r="B12" s="10" t="s">
        <v>30</v>
      </c>
      <c r="C12" s="73" t="n">
        <v>2284.2</v>
      </c>
      <c r="D12" s="72" t="n">
        <v>3420</v>
      </c>
      <c r="E12" s="73" t="n">
        <v>460.3</v>
      </c>
    </row>
    <row r="13" customFormat="false" ht="19.5" hidden="false" customHeight="true" outlineLevel="0" collapsed="false">
      <c r="B13" s="10" t="s">
        <v>33</v>
      </c>
      <c r="C13" s="73" t="n">
        <v>307.5</v>
      </c>
      <c r="D13" s="73" t="n">
        <v>460.3</v>
      </c>
      <c r="E13" s="72" t="n">
        <v>1520</v>
      </c>
    </row>
    <row r="14" customFormat="false" ht="19.5" hidden="false" customHeight="true" outlineLevel="0" collapsed="false">
      <c r="B14" s="20" t="s">
        <v>173</v>
      </c>
    </row>
    <row r="15" customFormat="false" ht="21.75" hidden="false" customHeight="true" outlineLevel="0" collapsed="false">
      <c r="C15" s="12" t="s">
        <v>174</v>
      </c>
      <c r="D15" s="12" t="s">
        <v>175</v>
      </c>
      <c r="E15" s="12" t="s">
        <v>176</v>
      </c>
      <c r="F15" s="74" t="s">
        <v>177</v>
      </c>
    </row>
    <row r="16" customFormat="false" ht="19.5" hidden="false" customHeight="true" outlineLevel="0" collapsed="false">
      <c r="B16" s="75" t="s">
        <v>178</v>
      </c>
      <c r="C16" s="76" t="n">
        <v>7007.9</v>
      </c>
      <c r="D16" s="73" t="n">
        <v>2032.2</v>
      </c>
      <c r="E16" s="73" t="n">
        <v>1387.1</v>
      </c>
    </row>
    <row r="17" customFormat="false" ht="19.5" hidden="false" customHeight="true" outlineLevel="0" collapsed="false">
      <c r="B17" s="75" t="s">
        <v>179</v>
      </c>
      <c r="C17" s="77" t="n">
        <v>0.6721</v>
      </c>
      <c r="D17" s="78" t="n">
        <v>0.1949</v>
      </c>
      <c r="E17" s="78" t="n">
        <v>0.133</v>
      </c>
    </row>
    <row r="18" customFormat="false" ht="19.5" hidden="false" customHeight="true" outlineLevel="0" collapsed="false">
      <c r="B18" s="75" t="s">
        <v>180</v>
      </c>
      <c r="C18" s="77" t="n">
        <v>67.2</v>
      </c>
      <c r="D18" s="78" t="n">
        <v>86.7</v>
      </c>
      <c r="E18" s="78" t="n">
        <v>100</v>
      </c>
      <c r="F18" s="79" t="n">
        <v>0</v>
      </c>
    </row>
    <row r="19" customFormat="false" ht="19.5" hidden="false" customHeight="true" outlineLevel="0" collapsed="false">
      <c r="B19" s="75" t="s">
        <v>181</v>
      </c>
      <c r="C19" s="80" t="n">
        <v>83.7</v>
      </c>
      <c r="D19" s="66" t="n">
        <v>45.1</v>
      </c>
      <c r="E19" s="66" t="n">
        <v>37.2</v>
      </c>
    </row>
    <row r="21" customFormat="false" ht="19.5" hidden="false" customHeight="true" outlineLevel="0" collapsed="false">
      <c r="B21" s="20" t="s">
        <v>182</v>
      </c>
    </row>
    <row r="22" customFormat="false" ht="21.75" hidden="false" customHeight="true" outlineLevel="0" collapsed="false">
      <c r="C22" s="81" t="s">
        <v>183</v>
      </c>
      <c r="D22" s="81" t="s">
        <v>184</v>
      </c>
      <c r="E22" s="81" t="s">
        <v>185</v>
      </c>
    </row>
    <row r="23" customFormat="false" ht="19.5" hidden="false" customHeight="true" outlineLevel="0" collapsed="false">
      <c r="B23" s="20" t="s">
        <v>186</v>
      </c>
      <c r="C23" s="82" t="n">
        <v>-0.8345</v>
      </c>
      <c r="D23" s="83" t="n">
        <v>-0.5361</v>
      </c>
      <c r="E23" s="84" t="n">
        <v>0.1268</v>
      </c>
    </row>
    <row r="24" customFormat="false" ht="19.5" hidden="false" customHeight="true" outlineLevel="0" collapsed="false">
      <c r="B24" s="20" t="s">
        <v>187</v>
      </c>
      <c r="C24" s="83" t="n">
        <v>-0.5432</v>
      </c>
      <c r="D24" s="82" t="n">
        <v>0.7621</v>
      </c>
      <c r="E24" s="83" t="n">
        <v>-0.3525</v>
      </c>
    </row>
    <row r="25" customFormat="false" ht="19.5" hidden="false" customHeight="true" outlineLevel="0" collapsed="false">
      <c r="B25" s="20" t="s">
        <v>188</v>
      </c>
      <c r="C25" s="84" t="n">
        <v>-0.0923</v>
      </c>
      <c r="D25" s="83" t="n">
        <v>0.363</v>
      </c>
      <c r="E25" s="82" t="n">
        <v>0.9272</v>
      </c>
    </row>
    <row r="27" customFormat="false" ht="19.5" hidden="false" customHeight="true" outlineLevel="0" collapsed="false">
      <c r="B27" s="85" t="s">
        <v>189</v>
      </c>
    </row>
    <row r="28" customFormat="false" ht="24" hidden="false" customHeight="true" outlineLevel="0" collapsed="false">
      <c r="C28" s="12" t="s">
        <v>174</v>
      </c>
      <c r="D28" s="12" t="s">
        <v>175</v>
      </c>
      <c r="E28" s="12" t="s">
        <v>176</v>
      </c>
      <c r="F28" s="69" t="s">
        <v>190</v>
      </c>
    </row>
    <row r="29" customFormat="false" ht="24" hidden="false" customHeight="true" outlineLevel="0" collapsed="false">
      <c r="B29" s="20" t="s">
        <v>191</v>
      </c>
      <c r="C29" s="86" t="n">
        <f aca="false">IFERROR(C7*-0.834542+D7*-0.543156+E7*-0.092314,0)</f>
        <v>-0</v>
      </c>
      <c r="D29" s="86" t="n">
        <f aca="false">IFERROR(C7*-0.536147+D7*0.762072+E7*0.363032,0)</f>
        <v>0</v>
      </c>
      <c r="E29" s="86" t="n">
        <f aca="false">IFERROR(C7*0.126833+D7*-0.352459+E7*0.927193,0)</f>
        <v>0</v>
      </c>
      <c r="F29" s="87" t="n">
        <f aca="false">IFERROR(SQRT(SUMPRODUCT((C29~D29~E29)^2)),0)</f>
        <v>0</v>
      </c>
    </row>
    <row r="30" customFormat="false" ht="19.5" hidden="false" customHeight="true" outlineLevel="0" collapsed="false">
      <c r="B30" s="75" t="s">
        <v>192</v>
      </c>
      <c r="C30" s="67" t="n">
        <f aca="false">IFERROR(ABS(C29)*83.7131,0)</f>
        <v>0</v>
      </c>
      <c r="D30" s="67" t="n">
        <f aca="false">IFERROR(ABS(D29)*45.0804,0)</f>
        <v>0</v>
      </c>
      <c r="E30" s="67" t="n">
        <f aca="false">IFERROR(ABS(E29)*37.2434,0)</f>
        <v>0</v>
      </c>
    </row>
    <row r="31" customFormat="false" ht="7.5" hidden="false" customHeight="true" outlineLevel="0" collapsed="false"/>
    <row r="34" customFormat="false" ht="25.5" hidden="false" customHeight="true" outlineLevel="0" collapsed="false">
      <c r="B34" s="88" t="s">
        <v>193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</row>
    <row r="35" customFormat="false" ht="19.5" hidden="false" customHeight="true" outlineLevel="0" collapsed="false">
      <c r="B35" s="20" t="s">
        <v>170</v>
      </c>
    </row>
    <row r="36" customFormat="false" ht="21.75" hidden="false" customHeight="true" outlineLevel="0" collapsed="false">
      <c r="C36" s="12" t="s">
        <v>26</v>
      </c>
      <c r="D36" s="12" t="s">
        <v>28</v>
      </c>
      <c r="E36" s="12" t="s">
        <v>30</v>
      </c>
      <c r="F36" s="12" t="s">
        <v>32</v>
      </c>
      <c r="G36" s="12" t="s">
        <v>33</v>
      </c>
      <c r="H36" s="69" t="s">
        <v>7</v>
      </c>
    </row>
    <row r="37" customFormat="false" ht="21.75" hidden="false" customHeight="true" outlineLevel="0" collapsed="false">
      <c r="B37" s="20" t="s">
        <v>171</v>
      </c>
      <c r="C37" s="70" t="n">
        <f aca="false">IFERROR(SUMPRODUCT((BOOK!H8:H107=2)*BOOK!Q8:Q107),0)</f>
        <v>0</v>
      </c>
      <c r="D37" s="70" t="n">
        <f aca="false">IFERROR(SUMPRODUCT((BOOK!H8:H107=5)*BOOK!Q8:Q107),0)</f>
        <v>0</v>
      </c>
      <c r="E37" s="70" t="n">
        <f aca="false">IFERROR(SUMPRODUCT((BOOK!H8:H107=10)*BOOK!Q8:Q107),0)</f>
        <v>0</v>
      </c>
      <c r="F37" s="70" t="n">
        <f aca="false">IFERROR(SUMPRODUCT((BOOK!H8:H107=20)*BOOK!Q8:Q107),0)</f>
        <v>0</v>
      </c>
      <c r="G37" s="70" t="n">
        <f aca="false">IFERROR(SUMPRODUCT((BOOK!H8:H107=30)*BOOK!Q8:Q107),0)</f>
        <v>0</v>
      </c>
      <c r="H37" s="71" t="n">
        <f aca="false">SUM(C37,D37,E37,F37,G37)</f>
        <v>0</v>
      </c>
    </row>
    <row r="39" customFormat="false" ht="19.5" hidden="false" customHeight="true" outlineLevel="0" collapsed="false">
      <c r="B39" s="20" t="s">
        <v>172</v>
      </c>
    </row>
    <row r="40" customFormat="false" ht="21.75" hidden="false" customHeight="true" outlineLevel="0" collapsed="false">
      <c r="C40" s="10" t="s">
        <v>26</v>
      </c>
      <c r="D40" s="10" t="s">
        <v>28</v>
      </c>
      <c r="E40" s="10" t="s">
        <v>30</v>
      </c>
      <c r="F40" s="10" t="s">
        <v>32</v>
      </c>
      <c r="G40" s="10" t="s">
        <v>33</v>
      </c>
    </row>
    <row r="41" customFormat="false" ht="19.5" hidden="false" customHeight="true" outlineLevel="0" collapsed="false">
      <c r="B41" s="10" t="s">
        <v>26</v>
      </c>
      <c r="C41" s="72" t="n">
        <v>5487.2</v>
      </c>
      <c r="D41" s="73" t="n">
        <v>3975.6</v>
      </c>
      <c r="E41" s="73" t="n">
        <v>2284.2</v>
      </c>
      <c r="F41" s="73" t="n">
        <v>684.2</v>
      </c>
      <c r="G41" s="73" t="n">
        <v>307.5</v>
      </c>
    </row>
    <row r="42" customFormat="false" ht="19.5" hidden="false" customHeight="true" outlineLevel="0" collapsed="false">
      <c r="B42" s="10" t="s">
        <v>28</v>
      </c>
      <c r="C42" s="73" t="n">
        <v>3975.6</v>
      </c>
      <c r="D42" s="72" t="n">
        <v>4655</v>
      </c>
      <c r="E42" s="73" t="n">
        <v>2674.6</v>
      </c>
      <c r="F42" s="73" t="n">
        <v>801.2</v>
      </c>
      <c r="G42" s="73" t="n">
        <v>360</v>
      </c>
    </row>
    <row r="43" customFormat="false" ht="19.5" hidden="false" customHeight="true" outlineLevel="0" collapsed="false">
      <c r="B43" s="10" t="s">
        <v>30</v>
      </c>
      <c r="C43" s="73" t="n">
        <v>2284.2</v>
      </c>
      <c r="D43" s="73" t="n">
        <v>2674.6</v>
      </c>
      <c r="E43" s="72" t="n">
        <v>3420</v>
      </c>
      <c r="F43" s="73" t="n">
        <v>1024.5</v>
      </c>
      <c r="G43" s="73" t="n">
        <v>460.3</v>
      </c>
    </row>
    <row r="44" customFormat="false" ht="19.5" hidden="false" customHeight="true" outlineLevel="0" collapsed="false">
      <c r="B44" s="10" t="s">
        <v>32</v>
      </c>
      <c r="C44" s="73" t="n">
        <v>684.2</v>
      </c>
      <c r="D44" s="73" t="n">
        <v>801.2</v>
      </c>
      <c r="E44" s="73" t="n">
        <v>1024.5</v>
      </c>
      <c r="F44" s="72" t="n">
        <v>1520</v>
      </c>
      <c r="G44" s="73" t="n">
        <v>683</v>
      </c>
    </row>
    <row r="45" customFormat="false" ht="19.5" hidden="false" customHeight="true" outlineLevel="0" collapsed="false">
      <c r="B45" s="10" t="s">
        <v>33</v>
      </c>
      <c r="C45" s="73" t="n">
        <v>307.5</v>
      </c>
      <c r="D45" s="73" t="n">
        <v>360</v>
      </c>
      <c r="E45" s="73" t="n">
        <v>460.3</v>
      </c>
      <c r="F45" s="73" t="n">
        <v>683</v>
      </c>
      <c r="G45" s="72" t="n">
        <v>1520</v>
      </c>
    </row>
    <row r="46" customFormat="false" ht="19.5" hidden="false" customHeight="true" outlineLevel="0" collapsed="false">
      <c r="B46" s="20" t="s">
        <v>173</v>
      </c>
    </row>
    <row r="47" customFormat="false" ht="21.75" hidden="false" customHeight="true" outlineLevel="0" collapsed="false">
      <c r="C47" s="12" t="s">
        <v>174</v>
      </c>
      <c r="D47" s="12" t="s">
        <v>175</v>
      </c>
      <c r="E47" s="12" t="s">
        <v>176</v>
      </c>
      <c r="F47" s="12" t="s">
        <v>194</v>
      </c>
      <c r="G47" s="12" t="s">
        <v>195</v>
      </c>
      <c r="H47" s="74" t="s">
        <v>177</v>
      </c>
    </row>
    <row r="48" customFormat="false" ht="19.5" hidden="false" customHeight="true" outlineLevel="0" collapsed="false">
      <c r="B48" s="75" t="s">
        <v>178</v>
      </c>
      <c r="C48" s="76" t="n">
        <v>10995.1</v>
      </c>
      <c r="D48" s="73" t="n">
        <v>2448.2</v>
      </c>
      <c r="E48" s="73" t="n">
        <v>1535.8</v>
      </c>
      <c r="F48" s="73" t="n">
        <v>887.8</v>
      </c>
      <c r="G48" s="73" t="n">
        <v>735.3</v>
      </c>
    </row>
    <row r="49" customFormat="false" ht="19.5" hidden="false" customHeight="true" outlineLevel="0" collapsed="false">
      <c r="B49" s="75" t="s">
        <v>179</v>
      </c>
      <c r="C49" s="77" t="n">
        <v>0.6623</v>
      </c>
      <c r="D49" s="78" t="n">
        <v>0.1475</v>
      </c>
      <c r="E49" s="78" t="n">
        <v>0.0925</v>
      </c>
      <c r="F49" s="78" t="n">
        <v>0.0535</v>
      </c>
      <c r="G49" s="78" t="n">
        <v>0.0443</v>
      </c>
    </row>
    <row r="50" customFormat="false" ht="19.5" hidden="false" customHeight="true" outlineLevel="0" collapsed="false">
      <c r="B50" s="75" t="s">
        <v>180</v>
      </c>
      <c r="C50" s="77" t="n">
        <v>66.2</v>
      </c>
      <c r="D50" s="78" t="n">
        <v>81</v>
      </c>
      <c r="E50" s="78" t="n">
        <v>90.2</v>
      </c>
      <c r="F50" s="78" t="n">
        <v>95.6</v>
      </c>
      <c r="G50" s="78" t="n">
        <v>100</v>
      </c>
      <c r="H50" s="79" t="n">
        <v>0</v>
      </c>
    </row>
    <row r="51" customFormat="false" ht="19.5" hidden="false" customHeight="true" outlineLevel="0" collapsed="false">
      <c r="B51" s="75" t="s">
        <v>181</v>
      </c>
      <c r="C51" s="80" t="n">
        <v>104.9</v>
      </c>
      <c r="D51" s="66" t="n">
        <v>49.5</v>
      </c>
      <c r="E51" s="66" t="n">
        <v>39.2</v>
      </c>
      <c r="F51" s="66" t="n">
        <v>29.8</v>
      </c>
      <c r="G51" s="66" t="n">
        <v>27.1</v>
      </c>
    </row>
    <row r="53" customFormat="false" ht="19.5" hidden="false" customHeight="true" outlineLevel="0" collapsed="false">
      <c r="B53" s="20" t="s">
        <v>182</v>
      </c>
    </row>
    <row r="54" customFormat="false" ht="21.75" hidden="false" customHeight="true" outlineLevel="0" collapsed="false">
      <c r="C54" s="81" t="s">
        <v>183</v>
      </c>
      <c r="D54" s="81" t="s">
        <v>184</v>
      </c>
      <c r="E54" s="81" t="s">
        <v>185</v>
      </c>
      <c r="F54" s="81" t="s">
        <v>194</v>
      </c>
      <c r="G54" s="81" t="s">
        <v>195</v>
      </c>
    </row>
    <row r="55" customFormat="false" ht="19.5" hidden="false" customHeight="true" outlineLevel="0" collapsed="false">
      <c r="B55" s="20" t="s">
        <v>186</v>
      </c>
      <c r="C55" s="82" t="n">
        <v>-0.6424</v>
      </c>
      <c r="D55" s="83" t="n">
        <v>-0.464</v>
      </c>
      <c r="E55" s="83" t="n">
        <v>-0.3821</v>
      </c>
      <c r="F55" s="83" t="n">
        <v>0.4623</v>
      </c>
      <c r="G55" s="84" t="n">
        <v>0.1111</v>
      </c>
    </row>
    <row r="56" customFormat="false" ht="19.5" hidden="false" customHeight="true" outlineLevel="0" collapsed="false">
      <c r="B56" s="20" t="s">
        <v>196</v>
      </c>
      <c r="C56" s="82" t="n">
        <v>-0.6091</v>
      </c>
      <c r="D56" s="84" t="n">
        <v>-0.0791</v>
      </c>
      <c r="E56" s="84" t="n">
        <v>0.162</v>
      </c>
      <c r="F56" s="82" t="n">
        <v>-0.7342</v>
      </c>
      <c r="G56" s="84" t="n">
        <v>-0.2399</v>
      </c>
    </row>
    <row r="57" customFormat="false" ht="19.5" hidden="false" customHeight="true" outlineLevel="0" collapsed="false">
      <c r="B57" s="20" t="s">
        <v>187</v>
      </c>
      <c r="C57" s="83" t="n">
        <v>-0.4337</v>
      </c>
      <c r="D57" s="83" t="n">
        <v>0.5353</v>
      </c>
      <c r="E57" s="83" t="n">
        <v>0.5579</v>
      </c>
      <c r="F57" s="83" t="n">
        <v>0.3141</v>
      </c>
      <c r="G57" s="83" t="n">
        <v>0.3398</v>
      </c>
    </row>
    <row r="58" customFormat="false" ht="19.5" hidden="false" customHeight="true" outlineLevel="0" collapsed="false">
      <c r="B58" s="20" t="s">
        <v>197</v>
      </c>
      <c r="C58" s="84" t="n">
        <v>-0.1502</v>
      </c>
      <c r="D58" s="83" t="n">
        <v>0.5237</v>
      </c>
      <c r="E58" s="83" t="n">
        <v>-0.3044</v>
      </c>
      <c r="F58" s="84" t="n">
        <v>0.2436</v>
      </c>
      <c r="G58" s="82" t="n">
        <v>-0.7424</v>
      </c>
    </row>
    <row r="59" customFormat="false" ht="19.5" hidden="false" customHeight="true" outlineLevel="0" collapsed="false">
      <c r="B59" s="20" t="s">
        <v>188</v>
      </c>
      <c r="C59" s="84" t="n">
        <v>-0.0759</v>
      </c>
      <c r="D59" s="83" t="n">
        <v>0.4665</v>
      </c>
      <c r="E59" s="82" t="n">
        <v>-0.6511</v>
      </c>
      <c r="F59" s="84" t="n">
        <v>-0.2987</v>
      </c>
      <c r="G59" s="83" t="n">
        <v>0.5134</v>
      </c>
    </row>
    <row r="61" customFormat="false" ht="19.5" hidden="false" customHeight="true" outlineLevel="0" collapsed="false">
      <c r="B61" s="85" t="s">
        <v>189</v>
      </c>
    </row>
    <row r="62" customFormat="false" ht="24" hidden="false" customHeight="true" outlineLevel="0" collapsed="false">
      <c r="C62" s="12" t="s">
        <v>174</v>
      </c>
      <c r="D62" s="12" t="s">
        <v>175</v>
      </c>
      <c r="E62" s="12" t="s">
        <v>176</v>
      </c>
      <c r="F62" s="74" t="s">
        <v>194</v>
      </c>
      <c r="G62" s="74" t="s">
        <v>195</v>
      </c>
      <c r="H62" s="69" t="s">
        <v>190</v>
      </c>
    </row>
    <row r="63" customFormat="false" ht="24" hidden="false" customHeight="true" outlineLevel="0" collapsed="false">
      <c r="B63" s="20" t="s">
        <v>191</v>
      </c>
      <c r="C63" s="86" t="n">
        <f aca="false">IFERROR(C37*-0.642375+D37*-0.609052+E37*-0.433678+F37*-0.150249+G37*-0.075884,0)</f>
        <v>-0</v>
      </c>
      <c r="D63" s="86" t="n">
        <f aca="false">IFERROR(C37*-0.464013+D37*-0.079097+E37*0.535329+F37*0.523718+G37*0.466451,0)</f>
        <v>0</v>
      </c>
      <c r="E63" s="86" t="n">
        <f aca="false">IFERROR(C37*-0.382079+D37*0.161965+E37*0.557875+F37*-0.304434+G37*-0.65106,0)</f>
        <v>0</v>
      </c>
      <c r="F63" s="89" t="n">
        <f aca="false">IFERROR(C37*0.462305+D37*-0.734177+E37*0.314149+F37*0.24363+G37*-0.298685,0)</f>
        <v>0</v>
      </c>
      <c r="G63" s="89" t="n">
        <f aca="false">IFERROR(C37*0.111068+D37*-0.239896+E37*0.339753+F37*-0.742367+G37*0.513394,0)</f>
        <v>0</v>
      </c>
      <c r="H63" s="87" t="n">
        <f aca="false">IFERROR(SQRT(SUMPRODUCT((C63~D63~E63~F63~G63)^2)),0)</f>
        <v>0</v>
      </c>
    </row>
    <row r="64" customFormat="false" ht="25.5" hidden="false" customHeight="true" outlineLevel="0" collapsed="false">
      <c r="B64" s="90" t="s">
        <v>198</v>
      </c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</row>
    <row r="65" customFormat="false" ht="19.5" hidden="false" customHeight="true" outlineLevel="0" collapsed="false">
      <c r="B65" s="20" t="s">
        <v>170</v>
      </c>
    </row>
    <row r="66" customFormat="false" ht="21.75" hidden="false" customHeight="true" outlineLevel="0" collapsed="false">
      <c r="C66" s="12" t="s">
        <v>25</v>
      </c>
      <c r="D66" s="12" t="s">
        <v>26</v>
      </c>
      <c r="E66" s="12" t="s">
        <v>28</v>
      </c>
      <c r="F66" s="12" t="s">
        <v>30</v>
      </c>
      <c r="G66" s="12" t="s">
        <v>32</v>
      </c>
      <c r="H66" s="12" t="s">
        <v>33</v>
      </c>
      <c r="I66" s="12" t="s">
        <v>34</v>
      </c>
      <c r="J66" s="69" t="s">
        <v>7</v>
      </c>
    </row>
    <row r="67" customFormat="false" ht="21.75" hidden="false" customHeight="true" outlineLevel="0" collapsed="false">
      <c r="B67" s="20" t="s">
        <v>171</v>
      </c>
      <c r="C67" s="70" t="n">
        <f aca="false">IFERROR(SUMPRODUCT((BOOK!H8:H107=1)*BOOK!Q8:Q107),0)</f>
        <v>0</v>
      </c>
      <c r="D67" s="70" t="n">
        <f aca="false">IFERROR(SUMPRODUCT((BOOK!H8:H107=2)*BOOK!Q8:Q107),0)</f>
        <v>0</v>
      </c>
      <c r="E67" s="70" t="n">
        <f aca="false">IFERROR(SUMPRODUCT((BOOK!H8:H107=5)*BOOK!Q8:Q107),0)</f>
        <v>0</v>
      </c>
      <c r="F67" s="70" t="n">
        <f aca="false">IFERROR(SUMPRODUCT((BOOK!H8:H107=10)*BOOK!Q8:Q107),0)</f>
        <v>0</v>
      </c>
      <c r="G67" s="70" t="n">
        <f aca="false">IFERROR(SUMPRODUCT((BOOK!H8:H107=20)*BOOK!Q8:Q107),0)</f>
        <v>0</v>
      </c>
      <c r="H67" s="70" t="n">
        <f aca="false">IFERROR(SUMPRODUCT((BOOK!H8:H107=30)*BOOK!Q8:Q107),0)</f>
        <v>0</v>
      </c>
      <c r="I67" s="70" t="n">
        <f aca="false">IFERROR(SUMPRODUCT((BOOK!H8:H107=50)*BOOK!Q8:Q107),0)</f>
        <v>0</v>
      </c>
      <c r="J67" s="71" t="n">
        <f aca="false">SUM(C67,D67,E67,F67,G67,H67,I67)</f>
        <v>0</v>
      </c>
    </row>
    <row r="69" customFormat="false" ht="19.5" hidden="false" customHeight="true" outlineLevel="0" collapsed="false">
      <c r="B69" s="20" t="s">
        <v>172</v>
      </c>
    </row>
    <row r="70" customFormat="false" ht="21.75" hidden="false" customHeight="true" outlineLevel="0" collapsed="false">
      <c r="C70" s="10" t="s">
        <v>25</v>
      </c>
      <c r="D70" s="10" t="s">
        <v>26</v>
      </c>
      <c r="E70" s="10" t="s">
        <v>28</v>
      </c>
      <c r="F70" s="10" t="s">
        <v>30</v>
      </c>
      <c r="G70" s="10" t="s">
        <v>32</v>
      </c>
      <c r="H70" s="10" t="s">
        <v>33</v>
      </c>
      <c r="I70" s="10" t="s">
        <v>34</v>
      </c>
    </row>
    <row r="71" customFormat="false" ht="19.5" hidden="false" customHeight="true" outlineLevel="0" collapsed="false">
      <c r="B71" s="10" t="s">
        <v>25</v>
      </c>
      <c r="C71" s="72" t="n">
        <v>5779.8</v>
      </c>
      <c r="D71" s="73" t="n">
        <v>5198.6</v>
      </c>
      <c r="E71" s="73" t="n">
        <v>3766.5</v>
      </c>
      <c r="F71" s="73" t="n">
        <v>2164.1</v>
      </c>
      <c r="G71" s="73" t="n">
        <v>648.3</v>
      </c>
      <c r="H71" s="73" t="n">
        <v>291.3</v>
      </c>
      <c r="I71" s="73" t="n">
        <v>58.8</v>
      </c>
    </row>
    <row r="72" customFormat="false" ht="19.5" hidden="false" customHeight="true" outlineLevel="0" collapsed="false">
      <c r="B72" s="10" t="s">
        <v>26</v>
      </c>
      <c r="C72" s="73" t="n">
        <v>5198.6</v>
      </c>
      <c r="D72" s="72" t="n">
        <v>5487.2</v>
      </c>
      <c r="E72" s="73" t="n">
        <v>3975.6</v>
      </c>
      <c r="F72" s="73" t="n">
        <v>2284.2</v>
      </c>
      <c r="G72" s="73" t="n">
        <v>684.2</v>
      </c>
      <c r="H72" s="73" t="n">
        <v>307.5</v>
      </c>
      <c r="I72" s="73" t="n">
        <v>62.1</v>
      </c>
    </row>
    <row r="73" customFormat="false" ht="19.5" hidden="false" customHeight="true" outlineLevel="0" collapsed="false">
      <c r="B73" s="10" t="s">
        <v>28</v>
      </c>
      <c r="C73" s="73" t="n">
        <v>3766.5</v>
      </c>
      <c r="D73" s="73" t="n">
        <v>3975.6</v>
      </c>
      <c r="E73" s="72" t="n">
        <v>4655</v>
      </c>
      <c r="F73" s="73" t="n">
        <v>2674.6</v>
      </c>
      <c r="G73" s="73" t="n">
        <v>801.2</v>
      </c>
      <c r="H73" s="73" t="n">
        <v>360</v>
      </c>
      <c r="I73" s="73" t="n">
        <v>72.7</v>
      </c>
    </row>
    <row r="74" customFormat="false" ht="19.5" hidden="false" customHeight="true" outlineLevel="0" collapsed="false">
      <c r="B74" s="10" t="s">
        <v>30</v>
      </c>
      <c r="C74" s="73" t="n">
        <v>2164.1</v>
      </c>
      <c r="D74" s="73" t="n">
        <v>2284.2</v>
      </c>
      <c r="E74" s="73" t="n">
        <v>2674.6</v>
      </c>
      <c r="F74" s="72" t="n">
        <v>3420</v>
      </c>
      <c r="G74" s="73" t="n">
        <v>1024.5</v>
      </c>
      <c r="H74" s="73" t="n">
        <v>460.3</v>
      </c>
      <c r="I74" s="73" t="n">
        <v>92.9</v>
      </c>
    </row>
    <row r="75" customFormat="false" ht="19.5" hidden="false" customHeight="true" outlineLevel="0" collapsed="false">
      <c r="B75" s="10" t="s">
        <v>32</v>
      </c>
      <c r="C75" s="73" t="n">
        <v>648.3</v>
      </c>
      <c r="D75" s="73" t="n">
        <v>684.2</v>
      </c>
      <c r="E75" s="73" t="n">
        <v>801.2</v>
      </c>
      <c r="F75" s="73" t="n">
        <v>1024.5</v>
      </c>
      <c r="G75" s="72" t="n">
        <v>1520</v>
      </c>
      <c r="H75" s="73" t="n">
        <v>683</v>
      </c>
      <c r="I75" s="73" t="n">
        <v>137.9</v>
      </c>
    </row>
    <row r="76" customFormat="false" ht="19.5" hidden="false" customHeight="true" outlineLevel="0" collapsed="false">
      <c r="B76" s="10" t="s">
        <v>33</v>
      </c>
      <c r="C76" s="73" t="n">
        <v>291.3</v>
      </c>
      <c r="D76" s="73" t="n">
        <v>307.5</v>
      </c>
      <c r="E76" s="73" t="n">
        <v>360</v>
      </c>
      <c r="F76" s="73" t="n">
        <v>460.3</v>
      </c>
      <c r="G76" s="73" t="n">
        <v>683</v>
      </c>
      <c r="H76" s="72" t="n">
        <v>1520</v>
      </c>
      <c r="I76" s="73" t="n">
        <v>306.9</v>
      </c>
    </row>
    <row r="77" customFormat="false" ht="19.5" hidden="false" customHeight="true" outlineLevel="0" collapsed="false">
      <c r="B77" s="10" t="s">
        <v>34</v>
      </c>
      <c r="C77" s="73" t="n">
        <v>58.8</v>
      </c>
      <c r="D77" s="73" t="n">
        <v>62.1</v>
      </c>
      <c r="E77" s="73" t="n">
        <v>72.7</v>
      </c>
      <c r="F77" s="73" t="n">
        <v>92.9</v>
      </c>
      <c r="G77" s="73" t="n">
        <v>137.9</v>
      </c>
      <c r="H77" s="73" t="n">
        <v>306.9</v>
      </c>
      <c r="I77" s="72" t="n">
        <v>1520</v>
      </c>
    </row>
    <row r="78" customFormat="false" ht="19.5" hidden="false" customHeight="true" outlineLevel="0" collapsed="false">
      <c r="B78" s="20" t="s">
        <v>173</v>
      </c>
    </row>
    <row r="79" customFormat="false" ht="21.75" hidden="false" customHeight="true" outlineLevel="0" collapsed="false">
      <c r="C79" s="12" t="s">
        <v>174</v>
      </c>
      <c r="D79" s="12" t="s">
        <v>175</v>
      </c>
      <c r="E79" s="12" t="s">
        <v>176</v>
      </c>
      <c r="F79" s="12" t="s">
        <v>194</v>
      </c>
      <c r="G79" s="12" t="s">
        <v>195</v>
      </c>
      <c r="H79" s="74" t="s">
        <v>177</v>
      </c>
    </row>
    <row r="80" customFormat="false" ht="19.5" hidden="false" customHeight="true" outlineLevel="0" collapsed="false">
      <c r="B80" s="75" t="s">
        <v>178</v>
      </c>
      <c r="C80" s="76" t="n">
        <v>15609.7</v>
      </c>
      <c r="D80" s="73" t="n">
        <v>2958.7</v>
      </c>
      <c r="E80" s="73" t="n">
        <v>1846.2</v>
      </c>
      <c r="F80" s="73" t="n">
        <v>1350.4</v>
      </c>
      <c r="G80" s="73" t="n">
        <v>1011.2</v>
      </c>
    </row>
    <row r="81" customFormat="false" ht="19.5" hidden="false" customHeight="true" outlineLevel="0" collapsed="false">
      <c r="B81" s="75" t="s">
        <v>179</v>
      </c>
      <c r="C81" s="77" t="n">
        <v>0.6531</v>
      </c>
      <c r="D81" s="78" t="n">
        <v>0.1238</v>
      </c>
      <c r="E81" s="78" t="n">
        <v>0.0772</v>
      </c>
      <c r="F81" s="78" t="n">
        <v>0.0565</v>
      </c>
      <c r="G81" s="78" t="n">
        <v>0.0423</v>
      </c>
    </row>
    <row r="82" customFormat="false" ht="19.5" hidden="false" customHeight="true" outlineLevel="0" collapsed="false">
      <c r="B82" s="75" t="s">
        <v>180</v>
      </c>
      <c r="C82" s="77" t="n">
        <v>65.3</v>
      </c>
      <c r="D82" s="78" t="n">
        <v>77.7</v>
      </c>
      <c r="E82" s="78" t="n">
        <v>85.4</v>
      </c>
      <c r="F82" s="78" t="n">
        <v>91.1</v>
      </c>
      <c r="G82" s="78" t="n">
        <v>95.3</v>
      </c>
      <c r="H82" s="79" t="n">
        <v>0.0471</v>
      </c>
    </row>
    <row r="83" customFormat="false" ht="19.5" hidden="false" customHeight="true" outlineLevel="0" collapsed="false">
      <c r="B83" s="75" t="s">
        <v>181</v>
      </c>
      <c r="C83" s="80" t="n">
        <v>124.9</v>
      </c>
      <c r="D83" s="66" t="n">
        <v>54.4</v>
      </c>
      <c r="E83" s="66" t="n">
        <v>43</v>
      </c>
      <c r="F83" s="66" t="n">
        <v>36.7</v>
      </c>
      <c r="G83" s="66" t="n">
        <v>31.8</v>
      </c>
    </row>
    <row r="85" customFormat="false" ht="19.5" hidden="false" customHeight="true" outlineLevel="0" collapsed="false">
      <c r="B85" s="20" t="s">
        <v>182</v>
      </c>
    </row>
    <row r="86" customFormat="false" ht="21.75" hidden="false" customHeight="true" outlineLevel="0" collapsed="false">
      <c r="C86" s="81" t="s">
        <v>183</v>
      </c>
      <c r="D86" s="81" t="s">
        <v>184</v>
      </c>
      <c r="E86" s="81" t="s">
        <v>185</v>
      </c>
      <c r="F86" s="81" t="s">
        <v>194</v>
      </c>
      <c r="G86" s="81" t="s">
        <v>195</v>
      </c>
    </row>
    <row r="87" customFormat="false" ht="19.5" hidden="false" customHeight="true" outlineLevel="0" collapsed="false">
      <c r="B87" s="20" t="s">
        <v>199</v>
      </c>
      <c r="C87" s="83" t="n">
        <v>-0.5667</v>
      </c>
      <c r="D87" s="83" t="n">
        <v>-0.3733</v>
      </c>
      <c r="E87" s="84" t="n">
        <v>-0.2221</v>
      </c>
      <c r="F87" s="84" t="n">
        <v>0.145</v>
      </c>
      <c r="G87" s="84" t="n">
        <v>-0.2831</v>
      </c>
    </row>
    <row r="88" customFormat="false" ht="19.5" hidden="false" customHeight="true" outlineLevel="0" collapsed="false">
      <c r="B88" s="20" t="s">
        <v>186</v>
      </c>
      <c r="C88" s="83" t="n">
        <v>-0.5654</v>
      </c>
      <c r="D88" s="84" t="n">
        <v>-0.2802</v>
      </c>
      <c r="E88" s="84" t="n">
        <v>-0.1259</v>
      </c>
      <c r="F88" s="84" t="n">
        <v>0.0562</v>
      </c>
      <c r="G88" s="84" t="n">
        <v>-0.0463</v>
      </c>
    </row>
    <row r="89" customFormat="false" ht="19.5" hidden="false" customHeight="true" outlineLevel="0" collapsed="false">
      <c r="B89" s="20" t="s">
        <v>196</v>
      </c>
      <c r="C89" s="83" t="n">
        <v>-0.489</v>
      </c>
      <c r="D89" s="84" t="n">
        <v>0.1966</v>
      </c>
      <c r="E89" s="84" t="n">
        <v>0.2988</v>
      </c>
      <c r="F89" s="84" t="n">
        <v>-0.2854</v>
      </c>
      <c r="G89" s="82" t="n">
        <v>0.7075</v>
      </c>
    </row>
    <row r="90" customFormat="false" ht="19.5" hidden="false" customHeight="true" outlineLevel="0" collapsed="false">
      <c r="B90" s="20" t="s">
        <v>187</v>
      </c>
      <c r="C90" s="83" t="n">
        <v>-0.325</v>
      </c>
      <c r="D90" s="82" t="n">
        <v>0.6334</v>
      </c>
      <c r="E90" s="83" t="n">
        <v>0.3616</v>
      </c>
      <c r="F90" s="84" t="n">
        <v>-0.0736</v>
      </c>
      <c r="G90" s="83" t="n">
        <v>-0.5182</v>
      </c>
    </row>
    <row r="91" customFormat="false" ht="19.5" hidden="false" customHeight="true" outlineLevel="0" collapsed="false">
      <c r="B91" s="20" t="s">
        <v>197</v>
      </c>
      <c r="C91" s="84" t="n">
        <v>-0.1076</v>
      </c>
      <c r="D91" s="83" t="n">
        <v>0.4418</v>
      </c>
      <c r="E91" s="84" t="n">
        <v>-0.2764</v>
      </c>
      <c r="F91" s="83" t="n">
        <v>0.393</v>
      </c>
      <c r="G91" s="84" t="n">
        <v>-0.0684</v>
      </c>
    </row>
    <row r="92" customFormat="false" ht="19.5" hidden="false" customHeight="true" outlineLevel="0" collapsed="false">
      <c r="B92" s="20" t="s">
        <v>188</v>
      </c>
      <c r="C92" s="84" t="n">
        <v>-0.0526</v>
      </c>
      <c r="D92" s="83" t="n">
        <v>0.3564</v>
      </c>
      <c r="E92" s="83" t="n">
        <v>-0.5763</v>
      </c>
      <c r="F92" s="83" t="n">
        <v>0.3146</v>
      </c>
      <c r="G92" s="83" t="n">
        <v>0.3451</v>
      </c>
    </row>
    <row r="93" customFormat="false" ht="19.5" hidden="false" customHeight="true" outlineLevel="0" collapsed="false">
      <c r="B93" s="20" t="s">
        <v>200</v>
      </c>
      <c r="C93" s="84" t="n">
        <v>-0.0117</v>
      </c>
      <c r="D93" s="84" t="n">
        <v>0.1419</v>
      </c>
      <c r="E93" s="83" t="n">
        <v>-0.5534</v>
      </c>
      <c r="F93" s="82" t="n">
        <v>-0.7972</v>
      </c>
      <c r="G93" s="84" t="n">
        <v>-0.1577</v>
      </c>
    </row>
    <row r="95" customFormat="false" ht="19.5" hidden="false" customHeight="true" outlineLevel="0" collapsed="false">
      <c r="B95" s="85" t="s">
        <v>189</v>
      </c>
    </row>
    <row r="96" customFormat="false" ht="21.75" hidden="false" customHeight="true" outlineLevel="0" collapsed="false">
      <c r="B96" s="91" t="s">
        <v>201</v>
      </c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</row>
    <row r="97" customFormat="false" ht="21.75" hidden="false" customHeight="true" outlineLevel="0" collapsed="false">
      <c r="B97" s="81" t="s">
        <v>202</v>
      </c>
      <c r="C97" s="92" t="s">
        <v>203</v>
      </c>
      <c r="D97" s="92" t="s">
        <v>204</v>
      </c>
      <c r="E97" s="92" t="s">
        <v>205</v>
      </c>
      <c r="F97" s="89" t="n">
        <f aca="false">IFERROR(C67*0.145038+D67*0.056212+E67*-0.285353+F67*-0.073646+G67*0.392983+H67*0.314612+I67*-0.797206,0)</f>
        <v>0</v>
      </c>
      <c r="G97" s="89" t="n">
        <f aca="false">IFERROR(C67*-0.283085+D67*-0.046276+E67*0.707528+F67*-0.518162+G67*-0.068387+H67*0.345107+I67*-0.157668,0)</f>
        <v>0</v>
      </c>
      <c r="H97" s="87" t="n">
        <f aca="false">IFERROR(SQRT(SUMPRODUCT((C97~D97~E97~F97~G97)^2)),0)</f>
        <v>0</v>
      </c>
    </row>
    <row r="98" customFormat="false" ht="21.75" hidden="false" customHeight="true" outlineLevel="0" collapsed="false">
      <c r="B98" s="20" t="s">
        <v>206</v>
      </c>
      <c r="C98" s="93" t="n">
        <f aca="false">IFERROR(SUM(BOOK!Q8:Q107)*0.3,0)</f>
        <v>45000</v>
      </c>
      <c r="D98" s="93" t="n">
        <f aca="false">IFERROR(SUM(BOOK!Q8:Q107)*0.3,0)</f>
        <v>45000</v>
      </c>
      <c r="E98" s="93" t="n">
        <f aca="false">IFERROR(SUM(BOOK!Q8:Q107)*0.3,0)</f>
        <v>45000</v>
      </c>
      <c r="F98" s="67" t="n">
        <f aca="false">IFERROR(ABS(F97)*36.7484,0)</f>
        <v>0</v>
      </c>
      <c r="G98" s="67" t="n">
        <f aca="false">IFERROR(ABS(G97)*31.7991,0)</f>
        <v>0</v>
      </c>
    </row>
    <row r="99" customFormat="false" ht="21.75" hidden="false" customHeight="true" outlineLevel="0" collapsed="false">
      <c r="B99" s="20" t="s">
        <v>207</v>
      </c>
      <c r="C99" s="93" t="n">
        <f aca="false">0</f>
        <v>0</v>
      </c>
      <c r="D99" s="93" t="n">
        <f aca="false">0</f>
        <v>0</v>
      </c>
      <c r="E99" s="93" t="n">
        <f aca="false">0</f>
        <v>0</v>
      </c>
    </row>
    <row r="100" customFormat="false" ht="21.75" hidden="false" customHeight="true" outlineLevel="0" collapsed="false">
      <c r="B100" s="20" t="s">
        <v>208</v>
      </c>
      <c r="C100" s="93" t="n">
        <f aca="false">0</f>
        <v>0</v>
      </c>
      <c r="D100" s="93" t="n">
        <f aca="false">0</f>
        <v>0</v>
      </c>
      <c r="E100" s="93" t="n">
        <f aca="false">0</f>
        <v>0</v>
      </c>
    </row>
    <row r="101" customFormat="false" ht="21.75" hidden="false" customHeight="true" outlineLevel="0" collapsed="false">
      <c r="B101" s="20" t="s">
        <v>209</v>
      </c>
      <c r="C101" s="93" t="n">
        <f aca="false">0</f>
        <v>0</v>
      </c>
      <c r="D101" s="93" t="n">
        <f aca="false">0</f>
        <v>0</v>
      </c>
      <c r="E101" s="93" t="n">
        <f aca="false">0</f>
        <v>0</v>
      </c>
    </row>
    <row r="102" customFormat="false" ht="21.75" hidden="false" customHeight="true" outlineLevel="0" collapsed="false">
      <c r="B102" s="20" t="s">
        <v>210</v>
      </c>
      <c r="C102" s="94" t="n">
        <f aca="false">0</f>
        <v>0</v>
      </c>
      <c r="D102" s="94" t="n">
        <f aca="false">0</f>
        <v>0</v>
      </c>
      <c r="E102" s="94" t="n">
        <f aca="false">0</f>
        <v>0</v>
      </c>
    </row>
  </sheetData>
  <mergeCells count="6">
    <mergeCell ref="B1:M1"/>
    <mergeCell ref="B2:M2"/>
    <mergeCell ref="B4:M4"/>
    <mergeCell ref="B34:M34"/>
    <mergeCell ref="B64:M64"/>
    <mergeCell ref="B96:M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0080"/>
    <pageSetUpPr fitToPage="false"/>
  </sheetPr>
  <dimension ref="A1:S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9" min="3" style="1" width="13"/>
    <col collapsed="false" customWidth="true" hidden="false" outlineLevel="0" max="10" min="10" style="1" width="2"/>
    <col collapsed="false" customWidth="true" hidden="false" outlineLevel="0" max="11" min="11" style="1" width="22"/>
    <col collapsed="false" customWidth="true" hidden="false" outlineLevel="0" max="18" min="12" style="1" width="13"/>
    <col collapsed="false" customWidth="true" hidden="false" outlineLevel="0" max="19" min="19" style="1" width="2"/>
  </cols>
  <sheetData>
    <row r="1" customFormat="false" ht="43.5" hidden="false" customHeight="true" outlineLevel="0" collapsed="false">
      <c r="A1" s="2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1.75" hidden="false" customHeight="true" outlineLevel="0" collapsed="false">
      <c r="A2" s="95" t="s">
        <v>212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</row>
    <row r="3" customFormat="false" ht="27.75" hidden="false" customHeight="true" outlineLevel="0" collapsed="false">
      <c r="B3" s="96" t="s">
        <v>213</v>
      </c>
      <c r="D3" s="96" t="s">
        <v>214</v>
      </c>
      <c r="F3" s="96" t="s">
        <v>215</v>
      </c>
      <c r="H3" s="97" t="s">
        <v>216</v>
      </c>
      <c r="K3" s="98" t="s">
        <v>217</v>
      </c>
      <c r="M3" s="99" t="s">
        <v>218</v>
      </c>
      <c r="O3" s="100" t="s">
        <v>219</v>
      </c>
      <c r="Q3" s="101" t="s">
        <v>220</v>
      </c>
    </row>
    <row r="4" customFormat="false" ht="6" hidden="false" customHeight="true" outlineLevel="0" collapsed="false"/>
    <row r="5" customFormat="false" ht="31.5" hidden="false" customHeight="true" outlineLevel="0" collapsed="false">
      <c r="A5" s="102" t="s">
        <v>221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customFormat="false" ht="21.75" hidden="false" customHeight="true" outlineLevel="0" collapsed="false">
      <c r="B6" s="103" t="s">
        <v>222</v>
      </c>
      <c r="D6" s="104" t="s">
        <v>223</v>
      </c>
      <c r="F6" s="104" t="s">
        <v>224</v>
      </c>
      <c r="H6" s="105" t="s">
        <v>225</v>
      </c>
      <c r="K6" s="104" t="s">
        <v>226</v>
      </c>
      <c r="M6" s="104" t="s">
        <v>227</v>
      </c>
      <c r="O6" s="104" t="s">
        <v>228</v>
      </c>
      <c r="P6" s="106" t="s">
        <v>229</v>
      </c>
      <c r="Q6" s="107" t="n">
        <f aca="false">IFERROR(IFERROR(SUMPRODUCT((BOOK!H8:H107=2)*BOOK!Q8:Q107),0)+IFERROR(SUMPRODUCT((BOOK!H8:H107=10)*BOOK!Q8:Q107),0)+IFERROR(SUMPRODUCT((BOOK!H8:H107=30)*BOOK!Q8:Q107),0),0)</f>
        <v>0</v>
      </c>
    </row>
    <row r="7" customFormat="false" ht="6" hidden="false" customHeight="true" outlineLevel="0" collapsed="false"/>
    <row r="8" customFormat="false" ht="21.75" hidden="false" customHeight="true" outlineLevel="0" collapsed="false">
      <c r="B8" s="5" t="s">
        <v>230</v>
      </c>
      <c r="C8" s="5"/>
      <c r="D8" s="5"/>
      <c r="E8" s="5"/>
      <c r="K8" s="108" t="s">
        <v>231</v>
      </c>
      <c r="L8" s="108"/>
      <c r="M8" s="108"/>
      <c r="N8" s="108"/>
    </row>
    <row r="9" customFormat="false" ht="24" hidden="false" customHeight="true" outlineLevel="0" collapsed="false">
      <c r="B9" s="109" t="s">
        <v>232</v>
      </c>
      <c r="C9" s="110" t="s">
        <v>26</v>
      </c>
      <c r="D9" s="110" t="s">
        <v>30</v>
      </c>
      <c r="E9" s="111" t="s">
        <v>33</v>
      </c>
      <c r="K9" s="112" t="s">
        <v>233</v>
      </c>
      <c r="L9" s="112" t="s">
        <v>183</v>
      </c>
      <c r="M9" s="112" t="s">
        <v>184</v>
      </c>
      <c r="N9" s="112" t="s">
        <v>185</v>
      </c>
      <c r="O9" s="113" t="s">
        <v>234</v>
      </c>
    </row>
    <row r="10" customFormat="false" ht="21.75" hidden="false" customHeight="true" outlineLevel="0" collapsed="false">
      <c r="B10" s="114" t="s">
        <v>26</v>
      </c>
      <c r="C10" s="115" t="n">
        <v>5487.2</v>
      </c>
      <c r="D10" s="116" t="n">
        <v>2284.2</v>
      </c>
      <c r="E10" s="117" t="n">
        <v>307.5</v>
      </c>
      <c r="K10" s="118" t="s">
        <v>26</v>
      </c>
      <c r="L10" s="119" t="n">
        <v>-0.8345</v>
      </c>
      <c r="M10" s="120" t="n">
        <v>-0.5361</v>
      </c>
      <c r="N10" s="121" t="n">
        <v>0.1268</v>
      </c>
      <c r="O10" s="122" t="n">
        <v>74.1</v>
      </c>
    </row>
    <row r="11" customFormat="false" ht="21.75" hidden="false" customHeight="true" outlineLevel="0" collapsed="false">
      <c r="B11" s="114" t="s">
        <v>30</v>
      </c>
      <c r="C11" s="116" t="n">
        <v>2284.2</v>
      </c>
      <c r="D11" s="123" t="n">
        <v>3420</v>
      </c>
      <c r="E11" s="124" t="n">
        <v>460.3</v>
      </c>
      <c r="K11" s="118" t="s">
        <v>30</v>
      </c>
      <c r="L11" s="120" t="n">
        <v>-0.5432</v>
      </c>
      <c r="M11" s="125" t="n">
        <v>0.7621</v>
      </c>
      <c r="N11" s="126" t="n">
        <v>-0.3525</v>
      </c>
      <c r="O11" s="122" t="n">
        <v>58.5</v>
      </c>
    </row>
    <row r="12" customFormat="false" ht="21.75" hidden="false" customHeight="true" outlineLevel="0" collapsed="false">
      <c r="B12" s="127" t="s">
        <v>33</v>
      </c>
      <c r="C12" s="128" t="n">
        <v>307.5</v>
      </c>
      <c r="D12" s="129" t="n">
        <v>460.3</v>
      </c>
      <c r="E12" s="130" t="n">
        <v>1520</v>
      </c>
      <c r="K12" s="118" t="s">
        <v>33</v>
      </c>
      <c r="L12" s="131" t="n">
        <v>-0.0923</v>
      </c>
      <c r="M12" s="132" t="n">
        <v>0.363</v>
      </c>
      <c r="N12" s="133" t="n">
        <v>0.9272</v>
      </c>
      <c r="O12" s="122" t="n">
        <v>39</v>
      </c>
    </row>
    <row r="13" customFormat="false" ht="18" hidden="false" customHeight="true" outlineLevel="0" collapsed="false">
      <c r="B13" s="134" t="s">
        <v>235</v>
      </c>
      <c r="C13" s="135" t="n">
        <v>74.1</v>
      </c>
      <c r="D13" s="135" t="n">
        <v>58.5</v>
      </c>
      <c r="E13" s="135" t="n">
        <v>39</v>
      </c>
      <c r="K13" s="136" t="s">
        <v>236</v>
      </c>
      <c r="L13" s="137"/>
      <c r="M13" s="138"/>
      <c r="N13" s="139"/>
      <c r="O13" s="140" t="s">
        <v>237</v>
      </c>
    </row>
    <row r="14" customFormat="false" ht="7.5" hidden="false" customHeight="true" outlineLevel="0" collapsed="false"/>
    <row r="15" customFormat="false" ht="21.75" hidden="false" customHeight="true" outlineLevel="0" collapsed="false">
      <c r="B15" s="5" t="s">
        <v>238</v>
      </c>
      <c r="C15" s="5"/>
      <c r="D15" s="5"/>
      <c r="E15" s="5"/>
      <c r="K15" s="56" t="s">
        <v>239</v>
      </c>
      <c r="L15" s="56"/>
      <c r="M15" s="56"/>
      <c r="N15" s="56"/>
      <c r="O15" s="56"/>
    </row>
    <row r="16" customFormat="false" ht="24" hidden="false" customHeight="true" outlineLevel="0" collapsed="false">
      <c r="B16" s="81" t="s">
        <v>240</v>
      </c>
      <c r="C16" s="141" t="s">
        <v>26</v>
      </c>
      <c r="D16" s="141" t="s">
        <v>30</v>
      </c>
      <c r="E16" s="141" t="s">
        <v>33</v>
      </c>
      <c r="K16" s="10" t="s">
        <v>202</v>
      </c>
      <c r="L16" s="10" t="s">
        <v>174</v>
      </c>
      <c r="M16" s="10" t="s">
        <v>175</v>
      </c>
      <c r="N16" s="10" t="s">
        <v>176</v>
      </c>
      <c r="O16" s="81" t="s">
        <v>241</v>
      </c>
    </row>
    <row r="17" customFormat="false" ht="21.75" hidden="false" customHeight="true" outlineLevel="0" collapsed="false">
      <c r="B17" s="118" t="s">
        <v>26</v>
      </c>
      <c r="C17" s="142" t="n">
        <v>1</v>
      </c>
      <c r="D17" s="143" t="n">
        <v>0.5273</v>
      </c>
      <c r="E17" s="144" t="n">
        <v>0.1065</v>
      </c>
      <c r="K17" s="145" t="s">
        <v>242</v>
      </c>
      <c r="L17" s="146" t="n">
        <v>7007.9</v>
      </c>
      <c r="M17" s="147" t="n">
        <v>2032.2</v>
      </c>
      <c r="N17" s="147" t="n">
        <v>1387.1</v>
      </c>
      <c r="O17" s="148" t="n">
        <v>10427.2</v>
      </c>
    </row>
    <row r="18" customFormat="false" ht="21.75" hidden="false" customHeight="true" outlineLevel="0" collapsed="false">
      <c r="B18" s="118" t="s">
        <v>30</v>
      </c>
      <c r="C18" s="143" t="n">
        <v>0.5273</v>
      </c>
      <c r="D18" s="142" t="n">
        <v>1</v>
      </c>
      <c r="E18" s="149" t="n">
        <v>0.2019</v>
      </c>
      <c r="K18" s="145" t="s">
        <v>243</v>
      </c>
      <c r="L18" s="150" t="n">
        <v>83.71</v>
      </c>
      <c r="M18" s="151" t="n">
        <v>45.08</v>
      </c>
      <c r="N18" s="151" t="n">
        <v>37.24</v>
      </c>
      <c r="O18" s="152"/>
    </row>
    <row r="19" customFormat="false" ht="21.75" hidden="false" customHeight="true" outlineLevel="0" collapsed="false">
      <c r="B19" s="118" t="s">
        <v>33</v>
      </c>
      <c r="C19" s="144" t="n">
        <v>0.1065</v>
      </c>
      <c r="D19" s="149" t="n">
        <v>0.2019</v>
      </c>
      <c r="E19" s="142" t="n">
        <v>1</v>
      </c>
      <c r="K19" s="145" t="s">
        <v>244</v>
      </c>
      <c r="L19" s="153" t="n">
        <v>0.6721</v>
      </c>
      <c r="M19" s="154" t="n">
        <v>0.1949</v>
      </c>
      <c r="N19" s="154" t="n">
        <v>0.133</v>
      </c>
      <c r="O19" s="155" t="n">
        <v>1</v>
      </c>
    </row>
    <row r="20" customFormat="false" ht="21.75" hidden="false" customHeight="true" outlineLevel="0" collapsed="false">
      <c r="B20" s="156" t="s">
        <v>245</v>
      </c>
      <c r="D20" s="137"/>
      <c r="E20" s="157"/>
      <c r="F20" s="158" t="s">
        <v>246</v>
      </c>
      <c r="K20" s="145" t="s">
        <v>247</v>
      </c>
      <c r="L20" s="159" t="n">
        <v>0.6721</v>
      </c>
      <c r="M20" s="160" t="n">
        <v>0.867</v>
      </c>
      <c r="N20" s="160" t="n">
        <v>1</v>
      </c>
      <c r="O20" s="155" t="n">
        <v>1</v>
      </c>
    </row>
    <row r="21" customFormat="false" ht="21.75" hidden="false" customHeight="true" outlineLevel="0" collapsed="false">
      <c r="K21" s="145" t="s">
        <v>248</v>
      </c>
      <c r="L21" s="161" t="n">
        <v>83.7</v>
      </c>
      <c r="M21" s="162" t="n">
        <v>45.1</v>
      </c>
      <c r="N21" s="162" t="n">
        <v>37.2</v>
      </c>
      <c r="O21" s="152"/>
    </row>
    <row r="22" customFormat="false" ht="7.5" hidden="false" customHeight="true" outlineLevel="0" collapsed="false"/>
    <row r="23" customFormat="false" ht="21.75" hidden="false" customHeight="true" outlineLevel="0" collapsed="false">
      <c r="A23" s="163" t="s">
        <v>249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</row>
    <row r="24" customFormat="false" ht="24" hidden="false" customHeight="true" outlineLevel="0" collapsed="false">
      <c r="B24" s="81" t="s">
        <v>250</v>
      </c>
      <c r="C24" s="164" t="s">
        <v>251</v>
      </c>
      <c r="D24" s="164" t="s">
        <v>252</v>
      </c>
      <c r="E24" s="164" t="s">
        <v>253</v>
      </c>
      <c r="F24" s="69" t="s">
        <v>254</v>
      </c>
      <c r="H24" s="165" t="s">
        <v>255</v>
      </c>
    </row>
    <row r="25" customFormat="false" ht="25.5" hidden="false" customHeight="true" outlineLevel="0" collapsed="false">
      <c r="B25" s="166" t="s">
        <v>256</v>
      </c>
      <c r="C25" s="167" t="n">
        <f aca="false">IFERROR(SUMPRODUCT((BOOK!H8:H107=2)*BOOK!Q8:Q107),0)</f>
        <v>0</v>
      </c>
      <c r="D25" s="167" t="n">
        <f aca="false">IFERROR(SUMPRODUCT((BOOK!H8:H107=10)*BOOK!Q8:Q107),0)</f>
        <v>0</v>
      </c>
      <c r="E25" s="167" t="n">
        <f aca="false">IFERROR(SUMPRODUCT((BOOK!H8:H107=30)*BOOK!Q8:Q107),0)</f>
        <v>0</v>
      </c>
      <c r="F25" s="168" t="n">
        <f aca="false">SUM(C25,D25,E25)</f>
        <v>0</v>
      </c>
      <c r="H25" s="169" t="s">
        <v>257</v>
      </c>
    </row>
    <row r="26" customFormat="false" ht="6" hidden="false" customHeight="true" outlineLevel="0" collapsed="false"/>
    <row r="27" customFormat="false" ht="24" hidden="false" customHeight="true" outlineLevel="0" collapsed="false">
      <c r="B27" s="170" t="s">
        <v>258</v>
      </c>
      <c r="C27" s="171" t="s">
        <v>259</v>
      </c>
      <c r="D27" s="172" t="s">
        <v>260</v>
      </c>
      <c r="E27" s="172" t="s">
        <v>261</v>
      </c>
      <c r="F27" s="172" t="s">
        <v>234</v>
      </c>
      <c r="G27" s="172" t="s">
        <v>262</v>
      </c>
      <c r="H27" s="172" t="s">
        <v>263</v>
      </c>
      <c r="I27" s="172" t="s">
        <v>264</v>
      </c>
      <c r="J27" s="173"/>
      <c r="K27" s="174" t="s">
        <v>116</v>
      </c>
    </row>
    <row r="28" customFormat="false" ht="24" hidden="false" customHeight="true" outlineLevel="0" collapsed="false">
      <c r="B28" s="175" t="s">
        <v>265</v>
      </c>
      <c r="C28" s="176" t="s">
        <v>266</v>
      </c>
      <c r="D28" s="177" t="n">
        <v>0.49</v>
      </c>
      <c r="E28" s="178" t="n">
        <f aca="false">IFERROR(C25*-0.834542 + D25*-0.543156 + E25*-0.092314, 0)</f>
        <v>-0</v>
      </c>
      <c r="F28" s="179" t="n">
        <v>83.71</v>
      </c>
      <c r="G28" s="180" t="n">
        <f aca="false">IFERROR(ABS(E28)*83.7131,0)</f>
        <v>0</v>
      </c>
      <c r="H28" s="181" t="n">
        <f aca="false">IFERROR(G28/MAX(SUM(G28,G29,G30),1),0)</f>
        <v>0</v>
      </c>
      <c r="I28" s="182" t="n">
        <f aca="false">IFERROR(ABS(E28)*83.7131/SQRT(252)*2.326,0)</f>
        <v>0</v>
      </c>
      <c r="J28" s="183"/>
      <c r="K28" s="184" t="s">
        <v>267</v>
      </c>
    </row>
    <row r="29" customFormat="false" ht="24" hidden="false" customHeight="true" outlineLevel="0" collapsed="false">
      <c r="B29" s="185" t="s">
        <v>268</v>
      </c>
      <c r="C29" s="186" t="s">
        <v>269</v>
      </c>
      <c r="D29" s="187" t="n">
        <v>0.1963</v>
      </c>
      <c r="E29" s="188" t="n">
        <f aca="false">IFERROR(C25*-0.536147 + D25*0.762072 + E25*0.363032, 0)</f>
        <v>0</v>
      </c>
      <c r="F29" s="189" t="n">
        <v>45.08</v>
      </c>
      <c r="G29" s="190" t="n">
        <f aca="false">IFERROR(ABS(E29)*45.0804,0)</f>
        <v>0</v>
      </c>
      <c r="H29" s="191" t="n">
        <f aca="false">IFERROR(G29/MAX(SUM(G28,G29,G30),1),0)</f>
        <v>0</v>
      </c>
      <c r="I29" s="182" t="n">
        <f aca="false">IFERROR(ABS(E29)*45.0804/SQRT(252)*2.326,0)</f>
        <v>0</v>
      </c>
      <c r="J29" s="183"/>
      <c r="K29" s="192" t="s">
        <v>270</v>
      </c>
    </row>
    <row r="30" customFormat="false" ht="24" hidden="false" customHeight="true" outlineLevel="0" collapsed="false">
      <c r="B30" s="193" t="s">
        <v>271</v>
      </c>
      <c r="C30" s="194" t="s">
        <v>272</v>
      </c>
      <c r="D30" s="195" t="n">
        <v>0.2339</v>
      </c>
      <c r="E30" s="196" t="n">
        <f aca="false">IFERROR(C25*0.126833 + D25*-0.352459 + E25*0.927193, 0)</f>
        <v>0</v>
      </c>
      <c r="F30" s="197" t="n">
        <v>37.24</v>
      </c>
      <c r="G30" s="198" t="n">
        <f aca="false">IFERROR(ABS(E30)*37.2434,0)</f>
        <v>0</v>
      </c>
      <c r="H30" s="199" t="n">
        <f aca="false">IFERROR(G30/MAX(SUM(G28,G29,G30),1),0)</f>
        <v>0</v>
      </c>
      <c r="I30" s="182" t="n">
        <f aca="false">IFERROR(ABS(E30)*37.2434/SQRT(252)*2.326,0)</f>
        <v>0</v>
      </c>
      <c r="J30" s="183"/>
      <c r="K30" s="200" t="s">
        <v>273</v>
      </c>
    </row>
    <row r="31" customFormat="false" ht="25.5" hidden="false" customHeight="true" outlineLevel="0" collapsed="false">
      <c r="B31" s="201" t="s">
        <v>274</v>
      </c>
      <c r="C31" s="201"/>
      <c r="D31" s="201"/>
      <c r="E31" s="202" t="n">
        <f aca="false">IFERROR(SQRT(SUMPRODUCT((E28~E29~E30)^2)),0)</f>
        <v>0</v>
      </c>
      <c r="F31" s="203"/>
      <c r="G31" s="202" t="n">
        <f aca="false">IFERROR(SQRT(SUMPRODUCT((G28~G29~G30)^2)),0)</f>
        <v>0</v>
      </c>
      <c r="H31" s="203"/>
      <c r="I31" s="204" t="n">
        <f aca="false">IFERROR(G31/SQRT(252)*2.326,0)</f>
        <v>0</v>
      </c>
      <c r="J31" s="203"/>
      <c r="K31" s="205"/>
    </row>
    <row r="32" customFormat="false" ht="12" hidden="false" customHeight="true" outlineLevel="0" collapsed="false"/>
    <row r="33" customFormat="false" ht="12" hidden="false" customHeight="true" outlineLevel="0" collapsed="false"/>
    <row r="34" customFormat="false" ht="31.5" hidden="false" customHeight="true" outlineLevel="0" collapsed="false">
      <c r="A34" s="206" t="s">
        <v>275</v>
      </c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</row>
    <row r="35" customFormat="false" ht="21.75" hidden="false" customHeight="true" outlineLevel="0" collapsed="false">
      <c r="B35" s="207" t="s">
        <v>276</v>
      </c>
      <c r="D35" s="104" t="s">
        <v>277</v>
      </c>
      <c r="F35" s="104" t="s">
        <v>278</v>
      </c>
      <c r="H35" s="105" t="s">
        <v>279</v>
      </c>
      <c r="K35" s="104" t="s">
        <v>280</v>
      </c>
      <c r="M35" s="104" t="s">
        <v>281</v>
      </c>
      <c r="O35" s="104" t="s">
        <v>282</v>
      </c>
      <c r="P35" s="106" t="s">
        <v>229</v>
      </c>
      <c r="Q35" s="107" t="n">
        <f aca="false">IFERROR(IFERROR(SUMPRODUCT((BOOK!H8:H107=2)*BOOK!Q8:Q107),0)+IFERROR(SUMPRODUCT((BOOK!H8:H107=5)*BOOK!Q8:Q107),0)+IFERROR(SUMPRODUCT((BOOK!H8:H107=10)*BOOK!Q8:Q107),0)+IFERROR(SUMPRODUCT((BOOK!H8:H107=20)*BOOK!Q8:Q107),0)+IFERROR(SUMPRODUCT((BOOK!H8:H107=30)*BOOK!Q8:Q107),0),0)</f>
        <v>0</v>
      </c>
    </row>
    <row r="36" customFormat="false" ht="6" hidden="false" customHeight="true" outlineLevel="0" collapsed="false"/>
    <row r="37" customFormat="false" ht="21.75" hidden="false" customHeight="true" outlineLevel="0" collapsed="false">
      <c r="B37" s="5" t="s">
        <v>230</v>
      </c>
      <c r="C37" s="5"/>
      <c r="D37" s="5"/>
      <c r="E37" s="5"/>
      <c r="F37" s="5"/>
      <c r="G37" s="5"/>
      <c r="K37" s="108" t="s">
        <v>231</v>
      </c>
      <c r="L37" s="108"/>
      <c r="M37" s="108"/>
      <c r="N37" s="108"/>
      <c r="O37" s="108"/>
      <c r="P37" s="108"/>
    </row>
    <row r="38" customFormat="false" ht="24" hidden="false" customHeight="true" outlineLevel="0" collapsed="false">
      <c r="B38" s="208" t="s">
        <v>232</v>
      </c>
      <c r="C38" s="209" t="s">
        <v>26</v>
      </c>
      <c r="D38" s="209" t="s">
        <v>28</v>
      </c>
      <c r="E38" s="209" t="s">
        <v>30</v>
      </c>
      <c r="F38" s="209" t="s">
        <v>32</v>
      </c>
      <c r="G38" s="210" t="s">
        <v>33</v>
      </c>
      <c r="K38" s="112" t="s">
        <v>233</v>
      </c>
      <c r="L38" s="112" t="s">
        <v>183</v>
      </c>
      <c r="M38" s="112" t="s">
        <v>184</v>
      </c>
      <c r="N38" s="112" t="s">
        <v>185</v>
      </c>
      <c r="O38" s="112" t="s">
        <v>283</v>
      </c>
      <c r="P38" s="112" t="s">
        <v>195</v>
      </c>
      <c r="Q38" s="113" t="s">
        <v>234</v>
      </c>
    </row>
    <row r="39" customFormat="false" ht="21.75" hidden="false" customHeight="true" outlineLevel="0" collapsed="false">
      <c r="B39" s="211" t="s">
        <v>26</v>
      </c>
      <c r="C39" s="115" t="n">
        <v>5487.2</v>
      </c>
      <c r="D39" s="212" t="n">
        <v>3975.6</v>
      </c>
      <c r="E39" s="116" t="n">
        <v>2284.2</v>
      </c>
      <c r="F39" s="213" t="n">
        <v>684.2</v>
      </c>
      <c r="G39" s="214" t="n">
        <v>307.5</v>
      </c>
      <c r="K39" s="215" t="s">
        <v>26</v>
      </c>
      <c r="L39" s="216" t="n">
        <v>-0.6424</v>
      </c>
      <c r="M39" s="217" t="n">
        <v>-0.464</v>
      </c>
      <c r="N39" s="126" t="n">
        <v>-0.3821</v>
      </c>
      <c r="O39" s="218" t="n">
        <v>0.4623</v>
      </c>
      <c r="P39" s="219" t="n">
        <v>0.1111</v>
      </c>
      <c r="Q39" s="122" t="n">
        <v>74.1</v>
      </c>
    </row>
    <row r="40" customFormat="false" ht="21.75" hidden="false" customHeight="true" outlineLevel="0" collapsed="false">
      <c r="B40" s="211" t="s">
        <v>28</v>
      </c>
      <c r="C40" s="212" t="n">
        <v>3975.6</v>
      </c>
      <c r="D40" s="220" t="n">
        <v>4655</v>
      </c>
      <c r="E40" s="221" t="n">
        <v>2674.6</v>
      </c>
      <c r="F40" s="222" t="n">
        <v>801.2</v>
      </c>
      <c r="G40" s="223" t="n">
        <v>360</v>
      </c>
      <c r="K40" s="215" t="s">
        <v>28</v>
      </c>
      <c r="L40" s="224" t="n">
        <v>-0.6091</v>
      </c>
      <c r="M40" s="225" t="n">
        <v>-0.0791</v>
      </c>
      <c r="N40" s="226" t="n">
        <v>0.162</v>
      </c>
      <c r="O40" s="227" t="n">
        <v>-0.7342</v>
      </c>
      <c r="P40" s="228" t="n">
        <v>-0.2399</v>
      </c>
      <c r="Q40" s="122" t="n">
        <v>68.2</v>
      </c>
    </row>
    <row r="41" customFormat="false" ht="21.75" hidden="false" customHeight="true" outlineLevel="0" collapsed="false">
      <c r="B41" s="211" t="s">
        <v>30</v>
      </c>
      <c r="C41" s="116" t="n">
        <v>2284.2</v>
      </c>
      <c r="D41" s="221" t="n">
        <v>2674.6</v>
      </c>
      <c r="E41" s="123" t="n">
        <v>3420</v>
      </c>
      <c r="F41" s="229" t="n">
        <v>1024.5</v>
      </c>
      <c r="G41" s="230" t="n">
        <v>460.3</v>
      </c>
      <c r="K41" s="215" t="s">
        <v>30</v>
      </c>
      <c r="L41" s="231" t="n">
        <v>-0.4337</v>
      </c>
      <c r="M41" s="232" t="n">
        <v>0.5353</v>
      </c>
      <c r="N41" s="233" t="n">
        <v>0.5579</v>
      </c>
      <c r="O41" s="234" t="n">
        <v>0.3141</v>
      </c>
      <c r="P41" s="234" t="n">
        <v>0.3398</v>
      </c>
      <c r="Q41" s="122" t="n">
        <v>58.5</v>
      </c>
    </row>
    <row r="42" customFormat="false" ht="21.75" hidden="false" customHeight="true" outlineLevel="0" collapsed="false">
      <c r="B42" s="211" t="s">
        <v>32</v>
      </c>
      <c r="C42" s="213" t="n">
        <v>684.2</v>
      </c>
      <c r="D42" s="222" t="n">
        <v>801.2</v>
      </c>
      <c r="E42" s="229" t="n">
        <v>1024.5</v>
      </c>
      <c r="F42" s="235" t="n">
        <v>1520</v>
      </c>
      <c r="G42" s="236" t="n">
        <v>683</v>
      </c>
      <c r="K42" s="215" t="s">
        <v>32</v>
      </c>
      <c r="L42" s="237" t="n">
        <v>-0.1502</v>
      </c>
      <c r="M42" s="238" t="n">
        <v>0.5237</v>
      </c>
      <c r="N42" s="239" t="n">
        <v>-0.3044</v>
      </c>
      <c r="O42" s="240" t="n">
        <v>0.2436</v>
      </c>
      <c r="P42" s="227" t="n">
        <v>-0.7424</v>
      </c>
      <c r="Q42" s="122" t="n">
        <v>39</v>
      </c>
    </row>
    <row r="43" customFormat="false" ht="21.75" hidden="false" customHeight="true" outlineLevel="0" collapsed="false">
      <c r="B43" s="241" t="s">
        <v>33</v>
      </c>
      <c r="C43" s="242" t="n">
        <v>307.5</v>
      </c>
      <c r="D43" s="243" t="n">
        <v>360</v>
      </c>
      <c r="E43" s="244" t="n">
        <v>460.3</v>
      </c>
      <c r="F43" s="245" t="n">
        <v>683</v>
      </c>
      <c r="G43" s="246" t="n">
        <v>1520</v>
      </c>
      <c r="K43" s="215" t="s">
        <v>33</v>
      </c>
      <c r="L43" s="225" t="n">
        <v>-0.0759</v>
      </c>
      <c r="M43" s="218" t="n">
        <v>0.4665</v>
      </c>
      <c r="N43" s="247" t="n">
        <v>-0.6511</v>
      </c>
      <c r="O43" s="239" t="n">
        <v>-0.2987</v>
      </c>
      <c r="P43" s="238" t="n">
        <v>0.5134</v>
      </c>
      <c r="Q43" s="122" t="n">
        <v>39</v>
      </c>
    </row>
    <row r="44" customFormat="false" ht="18" hidden="false" customHeight="true" outlineLevel="0" collapsed="false">
      <c r="B44" s="134" t="s">
        <v>235</v>
      </c>
      <c r="C44" s="135" t="n">
        <v>74.1</v>
      </c>
      <c r="D44" s="135" t="n">
        <v>68.2</v>
      </c>
      <c r="E44" s="135" t="n">
        <v>58.5</v>
      </c>
      <c r="F44" s="135" t="n">
        <v>39</v>
      </c>
      <c r="G44" s="135" t="n">
        <v>39</v>
      </c>
      <c r="K44" s="136" t="s">
        <v>236</v>
      </c>
      <c r="L44" s="248"/>
      <c r="M44" s="249"/>
      <c r="N44" s="250"/>
      <c r="O44" s="251"/>
      <c r="P44" s="139"/>
      <c r="Q44" s="140" t="s">
        <v>237</v>
      </c>
    </row>
    <row r="45" customFormat="false" ht="7.5" hidden="false" customHeight="true" outlineLevel="0" collapsed="false"/>
    <row r="46" customFormat="false" ht="21.75" hidden="false" customHeight="true" outlineLevel="0" collapsed="false">
      <c r="B46" s="5" t="s">
        <v>238</v>
      </c>
      <c r="C46" s="5"/>
      <c r="D46" s="5"/>
      <c r="E46" s="5"/>
      <c r="F46" s="5"/>
      <c r="G46" s="5"/>
      <c r="K46" s="56" t="s">
        <v>239</v>
      </c>
      <c r="L46" s="56"/>
      <c r="M46" s="56"/>
      <c r="N46" s="56"/>
      <c r="O46" s="56"/>
      <c r="P46" s="56"/>
      <c r="Q46" s="56"/>
    </row>
    <row r="47" customFormat="false" ht="24" hidden="false" customHeight="true" outlineLevel="0" collapsed="false">
      <c r="B47" s="81" t="s">
        <v>240</v>
      </c>
      <c r="C47" s="252" t="s">
        <v>26</v>
      </c>
      <c r="D47" s="252" t="s">
        <v>28</v>
      </c>
      <c r="E47" s="252" t="s">
        <v>30</v>
      </c>
      <c r="F47" s="252" t="s">
        <v>32</v>
      </c>
      <c r="G47" s="252" t="s">
        <v>33</v>
      </c>
      <c r="K47" s="10" t="s">
        <v>202</v>
      </c>
      <c r="L47" s="10" t="s">
        <v>174</v>
      </c>
      <c r="M47" s="10" t="s">
        <v>175</v>
      </c>
      <c r="N47" s="10" t="s">
        <v>176</v>
      </c>
      <c r="O47" s="74" t="s">
        <v>194</v>
      </c>
      <c r="P47" s="74" t="s">
        <v>195</v>
      </c>
      <c r="Q47" s="81" t="s">
        <v>241</v>
      </c>
    </row>
    <row r="48" customFormat="false" ht="21.75" hidden="false" customHeight="true" outlineLevel="0" collapsed="false">
      <c r="B48" s="215" t="s">
        <v>26</v>
      </c>
      <c r="C48" s="142" t="n">
        <v>1</v>
      </c>
      <c r="D48" s="253" t="n">
        <v>0.7866</v>
      </c>
      <c r="E48" s="143" t="n">
        <v>0.5273</v>
      </c>
      <c r="F48" s="254" t="n">
        <v>0.2369</v>
      </c>
      <c r="G48" s="144" t="n">
        <v>0.1065</v>
      </c>
      <c r="K48" s="145" t="s">
        <v>242</v>
      </c>
      <c r="L48" s="146" t="n">
        <v>10995.1</v>
      </c>
      <c r="M48" s="147" t="n">
        <v>2448.2</v>
      </c>
      <c r="N48" s="147" t="n">
        <v>1535.8</v>
      </c>
      <c r="O48" s="147" t="n">
        <v>887.8</v>
      </c>
      <c r="P48" s="147" t="n">
        <v>735.3</v>
      </c>
      <c r="Q48" s="148" t="n">
        <v>16602.2</v>
      </c>
    </row>
    <row r="49" customFormat="false" ht="21.75" hidden="false" customHeight="true" outlineLevel="0" collapsed="false">
      <c r="B49" s="215" t="s">
        <v>28</v>
      </c>
      <c r="C49" s="253" t="n">
        <v>0.7866</v>
      </c>
      <c r="D49" s="142" t="n">
        <v>1</v>
      </c>
      <c r="E49" s="255" t="n">
        <v>0.6703</v>
      </c>
      <c r="F49" s="256" t="n">
        <v>0.3012</v>
      </c>
      <c r="G49" s="257" t="n">
        <v>0.1353</v>
      </c>
      <c r="K49" s="145" t="s">
        <v>243</v>
      </c>
      <c r="L49" s="150" t="n">
        <v>104.86</v>
      </c>
      <c r="M49" s="151" t="n">
        <v>49.48</v>
      </c>
      <c r="N49" s="151" t="n">
        <v>39.19</v>
      </c>
      <c r="O49" s="151" t="n">
        <v>29.8</v>
      </c>
      <c r="P49" s="151" t="n">
        <v>27.12</v>
      </c>
      <c r="Q49" s="152"/>
    </row>
    <row r="50" customFormat="false" ht="21.75" hidden="false" customHeight="true" outlineLevel="0" collapsed="false">
      <c r="B50" s="215" t="s">
        <v>30</v>
      </c>
      <c r="C50" s="143" t="n">
        <v>0.5273</v>
      </c>
      <c r="D50" s="255" t="n">
        <v>0.6703</v>
      </c>
      <c r="E50" s="142" t="n">
        <v>1</v>
      </c>
      <c r="F50" s="258" t="n">
        <v>0.4493</v>
      </c>
      <c r="G50" s="149" t="n">
        <v>0.2019</v>
      </c>
      <c r="K50" s="145" t="s">
        <v>244</v>
      </c>
      <c r="L50" s="153" t="n">
        <v>0.6623</v>
      </c>
      <c r="M50" s="154" t="n">
        <v>0.1475</v>
      </c>
      <c r="N50" s="154" t="n">
        <v>0.0925</v>
      </c>
      <c r="O50" s="154" t="n">
        <v>0.0535</v>
      </c>
      <c r="P50" s="154" t="n">
        <v>0.0443</v>
      </c>
      <c r="Q50" s="155" t="n">
        <v>1</v>
      </c>
    </row>
    <row r="51" customFormat="false" ht="21.75" hidden="false" customHeight="true" outlineLevel="0" collapsed="false">
      <c r="B51" s="215" t="s">
        <v>32</v>
      </c>
      <c r="C51" s="254" t="n">
        <v>0.2369</v>
      </c>
      <c r="D51" s="256" t="n">
        <v>0.3012</v>
      </c>
      <c r="E51" s="258" t="n">
        <v>0.4493</v>
      </c>
      <c r="F51" s="142" t="n">
        <v>1</v>
      </c>
      <c r="G51" s="258" t="n">
        <v>0.4493</v>
      </c>
      <c r="K51" s="145" t="s">
        <v>247</v>
      </c>
      <c r="L51" s="159" t="n">
        <v>0.6623</v>
      </c>
      <c r="M51" s="160" t="n">
        <v>0.8097</v>
      </c>
      <c r="N51" s="160" t="n">
        <v>0.9022</v>
      </c>
      <c r="O51" s="160" t="n">
        <v>0.9557</v>
      </c>
      <c r="P51" s="160" t="n">
        <v>1</v>
      </c>
      <c r="Q51" s="155" t="n">
        <v>1</v>
      </c>
    </row>
    <row r="52" customFormat="false" ht="21.75" hidden="false" customHeight="true" outlineLevel="0" collapsed="false">
      <c r="B52" s="215" t="s">
        <v>33</v>
      </c>
      <c r="C52" s="144" t="n">
        <v>0.1065</v>
      </c>
      <c r="D52" s="257" t="n">
        <v>0.1353</v>
      </c>
      <c r="E52" s="149" t="n">
        <v>0.2019</v>
      </c>
      <c r="F52" s="258" t="n">
        <v>0.4493</v>
      </c>
      <c r="G52" s="142" t="n">
        <v>1</v>
      </c>
      <c r="K52" s="145" t="s">
        <v>248</v>
      </c>
      <c r="L52" s="161" t="n">
        <v>104.9</v>
      </c>
      <c r="M52" s="162" t="n">
        <v>49.5</v>
      </c>
      <c r="N52" s="162" t="n">
        <v>39.2</v>
      </c>
      <c r="O52" s="162" t="n">
        <v>29.8</v>
      </c>
      <c r="P52" s="162" t="n">
        <v>27.1</v>
      </c>
      <c r="Q52" s="152"/>
    </row>
    <row r="53" customFormat="false" ht="7.5" hidden="false" customHeight="true" outlineLevel="0" collapsed="false">
      <c r="B53" s="156" t="s">
        <v>245</v>
      </c>
      <c r="D53" s="248"/>
      <c r="E53" s="249"/>
      <c r="F53" s="259"/>
      <c r="G53" s="260"/>
      <c r="H53" s="158" t="s">
        <v>246</v>
      </c>
    </row>
    <row r="54" customFormat="false" ht="7.5" hidden="false" customHeight="true" outlineLevel="0" collapsed="false"/>
    <row r="55" customFormat="false" ht="21.75" hidden="false" customHeight="true" outlineLevel="0" collapsed="false">
      <c r="A55" s="163" t="s">
        <v>284</v>
      </c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</row>
    <row r="56" customFormat="false" ht="24" hidden="false" customHeight="true" outlineLevel="0" collapsed="false">
      <c r="B56" s="81" t="s">
        <v>250</v>
      </c>
      <c r="C56" s="261" t="s">
        <v>251</v>
      </c>
      <c r="D56" s="261" t="s">
        <v>285</v>
      </c>
      <c r="E56" s="261" t="s">
        <v>252</v>
      </c>
      <c r="F56" s="261" t="s">
        <v>286</v>
      </c>
      <c r="G56" s="261" t="s">
        <v>253</v>
      </c>
      <c r="H56" s="69" t="s">
        <v>254</v>
      </c>
      <c r="J56" s="165" t="s">
        <v>255</v>
      </c>
    </row>
    <row r="57" customFormat="false" ht="25.5" hidden="false" customHeight="true" outlineLevel="0" collapsed="false">
      <c r="B57" s="166" t="s">
        <v>256</v>
      </c>
      <c r="C57" s="167" t="n">
        <f aca="false">IFERROR(SUMPRODUCT((BOOK!H8:H107=2)*BOOK!Q8:Q107),0)</f>
        <v>0</v>
      </c>
      <c r="D57" s="167" t="n">
        <f aca="false">IFERROR(SUMPRODUCT((BOOK!H8:H107=5)*BOOK!Q8:Q107),0)</f>
        <v>0</v>
      </c>
      <c r="E57" s="167" t="n">
        <f aca="false">IFERROR(SUMPRODUCT((BOOK!H8:H107=10)*BOOK!Q8:Q107),0)</f>
        <v>0</v>
      </c>
      <c r="F57" s="167" t="n">
        <f aca="false">IFERROR(SUMPRODUCT((BOOK!H8:H107=20)*BOOK!Q8:Q107),0)</f>
        <v>0</v>
      </c>
      <c r="G57" s="167" t="n">
        <f aca="false">IFERROR(SUMPRODUCT((BOOK!H8:H107=30)*BOOK!Q8:Q107),0)</f>
        <v>0</v>
      </c>
      <c r="H57" s="168" t="n">
        <f aca="false">SUM(C57,D57,E57,F57,G57)</f>
        <v>0</v>
      </c>
      <c r="J57" s="169" t="s">
        <v>257</v>
      </c>
    </row>
    <row r="58" customFormat="false" ht="6" hidden="false" customHeight="true" outlineLevel="0" collapsed="false"/>
    <row r="59" customFormat="false" ht="24" hidden="false" customHeight="true" outlineLevel="0" collapsed="false">
      <c r="B59" s="170" t="s">
        <v>258</v>
      </c>
      <c r="C59" s="171" t="s">
        <v>259</v>
      </c>
      <c r="D59" s="172" t="s">
        <v>260</v>
      </c>
      <c r="E59" s="172" t="s">
        <v>261</v>
      </c>
      <c r="F59" s="172" t="s">
        <v>234</v>
      </c>
      <c r="G59" s="172" t="s">
        <v>262</v>
      </c>
      <c r="H59" s="172" t="s">
        <v>263</v>
      </c>
      <c r="I59" s="172" t="s">
        <v>264</v>
      </c>
      <c r="J59" s="173"/>
      <c r="K59" s="174" t="s">
        <v>116</v>
      </c>
    </row>
    <row r="60" customFormat="false" ht="24" hidden="false" customHeight="true" outlineLevel="0" collapsed="false">
      <c r="B60" s="175" t="s">
        <v>265</v>
      </c>
      <c r="C60" s="176" t="s">
        <v>266</v>
      </c>
      <c r="D60" s="177" t="n">
        <v>0.3822</v>
      </c>
      <c r="E60" s="178" t="n">
        <f aca="false">IFERROR(C57*-0.642375 + D57*-0.609052 + E57*-0.433678 + F57*-0.150249 + G57*-0.075884, 0)</f>
        <v>-0</v>
      </c>
      <c r="F60" s="179" t="n">
        <v>104.86</v>
      </c>
      <c r="G60" s="180" t="n">
        <f aca="false">IFERROR(ABS(E60)*104.8574,0)</f>
        <v>0</v>
      </c>
      <c r="H60" s="181" t="n">
        <f aca="false">IFERROR(G60/MAX(SUM(G60,G61,G62,G63,G64),1),0)</f>
        <v>0</v>
      </c>
      <c r="I60" s="182" t="n">
        <f aca="false">IFERROR(ABS(E60)*104.8574/SQRT(252)*2.326,0)</f>
        <v>0</v>
      </c>
      <c r="J60" s="183"/>
      <c r="K60" s="184" t="s">
        <v>267</v>
      </c>
    </row>
    <row r="61" customFormat="false" ht="24" hidden="false" customHeight="true" outlineLevel="0" collapsed="false">
      <c r="B61" s="185" t="s">
        <v>268</v>
      </c>
      <c r="C61" s="186" t="s">
        <v>269</v>
      </c>
      <c r="D61" s="187" t="n">
        <v>0.1965</v>
      </c>
      <c r="E61" s="188" t="n">
        <f aca="false">IFERROR(C57*-0.464013 + D57*-0.079097 + E57*0.535329 + F57*0.523718 + G57*0.466451, 0)</f>
        <v>0</v>
      </c>
      <c r="F61" s="189" t="n">
        <v>49.48</v>
      </c>
      <c r="G61" s="190" t="n">
        <f aca="false">IFERROR(ABS(E61)*49.4797,0)</f>
        <v>0</v>
      </c>
      <c r="H61" s="191" t="n">
        <f aca="false">IFERROR(G61/MAX(SUM(G60,G61,G62,G63,G64),1),0)</f>
        <v>0</v>
      </c>
      <c r="I61" s="182" t="n">
        <f aca="false">IFERROR(ABS(E61)*49.4797/SQRT(252)*2.326,0)</f>
        <v>0</v>
      </c>
      <c r="J61" s="183"/>
      <c r="K61" s="192" t="s">
        <v>270</v>
      </c>
    </row>
    <row r="62" customFormat="false" ht="24" hidden="false" customHeight="true" outlineLevel="0" collapsed="false">
      <c r="B62" s="193" t="s">
        <v>271</v>
      </c>
      <c r="C62" s="194" t="s">
        <v>272</v>
      </c>
      <c r="D62" s="195" t="n">
        <v>0.1235</v>
      </c>
      <c r="E62" s="196" t="n">
        <f aca="false">IFERROR(C57*-0.382079 + D57*0.161965 + E57*0.557875 + F57*-0.304434 + G57*-0.65106, 0)</f>
        <v>0</v>
      </c>
      <c r="F62" s="197" t="n">
        <v>39.19</v>
      </c>
      <c r="G62" s="198" t="n">
        <f aca="false">IFERROR(ABS(E62)*39.1892,0)</f>
        <v>0</v>
      </c>
      <c r="H62" s="199" t="n">
        <f aca="false">IFERROR(G62/MAX(SUM(G60,G61,G62,G63,G64),1),0)</f>
        <v>0</v>
      </c>
      <c r="I62" s="182" t="n">
        <f aca="false">IFERROR(ABS(E62)*39.1892/SQRT(252)*2.326,0)</f>
        <v>0</v>
      </c>
      <c r="J62" s="183"/>
      <c r="K62" s="200" t="s">
        <v>273</v>
      </c>
    </row>
    <row r="63" customFormat="false" ht="24" hidden="false" customHeight="true" outlineLevel="0" collapsed="false">
      <c r="B63" s="262" t="s">
        <v>287</v>
      </c>
      <c r="C63" s="263" t="s">
        <v>288</v>
      </c>
      <c r="D63" s="264" t="n">
        <v>0.0026</v>
      </c>
      <c r="E63" s="265" t="n">
        <f aca="false">IFERROR(C57*0.462305 + D57*-0.734177 + E57*0.314149 + F57*0.24363 + G57*-0.298685, 0)</f>
        <v>0</v>
      </c>
      <c r="F63" s="266" t="n">
        <v>29.8</v>
      </c>
      <c r="G63" s="267" t="n">
        <f aca="false">IFERROR(ABS(E63)*29.7951,0)</f>
        <v>0</v>
      </c>
      <c r="H63" s="268" t="n">
        <f aca="false">IFERROR(G63/MAX(SUM(G60,G61,G62,G63,G64),1),0)</f>
        <v>0</v>
      </c>
      <c r="I63" s="269" t="n">
        <f aca="false">IFERROR(ABS(E63)*29.7951/SQRT(252)*2.326,0)</f>
        <v>0</v>
      </c>
      <c r="J63" s="183"/>
      <c r="K63" s="270" t="s">
        <v>289</v>
      </c>
    </row>
    <row r="64" customFormat="false" ht="24" hidden="false" customHeight="true" outlineLevel="0" collapsed="false">
      <c r="B64" s="262" t="s">
        <v>290</v>
      </c>
      <c r="C64" s="263" t="s">
        <v>291</v>
      </c>
      <c r="D64" s="264" t="n">
        <v>0.0036</v>
      </c>
      <c r="E64" s="265" t="n">
        <f aca="false">IFERROR(C57*0.111068 + D57*-0.239896 + E57*0.339753 + F57*-0.742367 + G57*0.513394, 0)</f>
        <v>0</v>
      </c>
      <c r="F64" s="266" t="n">
        <v>27.12</v>
      </c>
      <c r="G64" s="267" t="n">
        <f aca="false">IFERROR(ABS(E64)*27.1172,0)</f>
        <v>0</v>
      </c>
      <c r="H64" s="268" t="n">
        <f aca="false">IFERROR(G64/MAX(SUM(G60,G61,G62,G63,G64),1),0)</f>
        <v>0</v>
      </c>
      <c r="I64" s="269" t="n">
        <f aca="false">IFERROR(ABS(E64)*27.1172/SQRT(252)*2.326,0)</f>
        <v>0</v>
      </c>
      <c r="J64" s="183"/>
      <c r="K64" s="270" t="s">
        <v>292</v>
      </c>
    </row>
    <row r="65" customFormat="false" ht="25.5" hidden="false" customHeight="true" outlineLevel="0" collapsed="false">
      <c r="B65" s="201" t="s">
        <v>274</v>
      </c>
      <c r="C65" s="201"/>
      <c r="D65" s="201"/>
      <c r="E65" s="202" t="n">
        <f aca="false">IFERROR(SQRT(SUMPRODUCT((E60~E61~E62~E63~E64)^2)),0)</f>
        <v>0</v>
      </c>
      <c r="F65" s="203"/>
      <c r="G65" s="202" t="n">
        <f aca="false">IFERROR(SQRT(SUMPRODUCT((G60~G61~G62~G63~G64)^2)),0)</f>
        <v>0</v>
      </c>
      <c r="H65" s="203"/>
      <c r="I65" s="204" t="n">
        <f aca="false">IFERROR(G65/SQRT(252)*2.326,0)</f>
        <v>0</v>
      </c>
      <c r="J65" s="203"/>
      <c r="K65" s="205"/>
    </row>
    <row r="66" customFormat="false" ht="12" hidden="false" customHeight="true" outlineLevel="0" collapsed="false"/>
    <row r="67" customFormat="false" ht="12" hidden="false" customHeight="true" outlineLevel="0" collapsed="false"/>
    <row r="68" customFormat="false" ht="31.5" hidden="false" customHeight="true" outlineLevel="0" collapsed="false">
      <c r="A68" s="271" t="s">
        <v>293</v>
      </c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</row>
    <row r="69" customFormat="false" ht="21.75" hidden="false" customHeight="true" outlineLevel="0" collapsed="false">
      <c r="B69" s="272" t="s">
        <v>294</v>
      </c>
      <c r="D69" s="104" t="s">
        <v>295</v>
      </c>
      <c r="F69" s="104" t="s">
        <v>296</v>
      </c>
      <c r="H69" s="105" t="s">
        <v>297</v>
      </c>
      <c r="K69" s="104" t="s">
        <v>298</v>
      </c>
      <c r="M69" s="104" t="s">
        <v>299</v>
      </c>
      <c r="O69" s="104" t="s">
        <v>300</v>
      </c>
      <c r="P69" s="106" t="s">
        <v>229</v>
      </c>
      <c r="Q69" s="107" t="n">
        <f aca="false">IFERROR(IFERROR(SUMPRODUCT((BOOK!H8:H107=1)*BOOK!Q8:Q107),0)+IFERROR(SUMPRODUCT((BOOK!H8:H107=2)*BOOK!Q8:Q107),0)+IFERROR(SUMPRODUCT((BOOK!H8:H107=5)*BOOK!Q8:Q107),0)+IFERROR(SUMPRODUCT((BOOK!H8:H107=10)*BOOK!Q8:Q107),0)+IFERROR(SUMPRODUCT((BOOK!H8:H107=20)*BOOK!Q8:Q107),0)+IFERROR(SUMPRODUCT((BOOK!H8:H107=30)*BOOK!Q8:Q107),0)+IFERROR(SUMPRODUCT((BOOK!H8:H107=50)*BOOK!Q8:Q107),0),0)</f>
        <v>0</v>
      </c>
    </row>
    <row r="70" customFormat="false" ht="6" hidden="false" customHeight="true" outlineLevel="0" collapsed="false"/>
    <row r="71" customFormat="false" ht="21.75" hidden="false" customHeight="true" outlineLevel="0" collapsed="false">
      <c r="B71" s="5" t="s">
        <v>230</v>
      </c>
      <c r="C71" s="5"/>
      <c r="D71" s="5"/>
      <c r="E71" s="5"/>
      <c r="F71" s="5"/>
      <c r="G71" s="5"/>
      <c r="H71" s="5"/>
      <c r="I71" s="5"/>
      <c r="K71" s="108" t="s">
        <v>231</v>
      </c>
      <c r="L71" s="108"/>
      <c r="M71" s="108"/>
      <c r="N71" s="108"/>
      <c r="O71" s="108"/>
      <c r="P71" s="108"/>
    </row>
    <row r="72" customFormat="false" ht="24" hidden="false" customHeight="true" outlineLevel="0" collapsed="false">
      <c r="B72" s="273" t="s">
        <v>232</v>
      </c>
      <c r="C72" s="274" t="s">
        <v>25</v>
      </c>
      <c r="D72" s="274" t="s">
        <v>26</v>
      </c>
      <c r="E72" s="274" t="s">
        <v>28</v>
      </c>
      <c r="F72" s="274" t="s">
        <v>30</v>
      </c>
      <c r="G72" s="274" t="s">
        <v>32</v>
      </c>
      <c r="H72" s="274" t="s">
        <v>33</v>
      </c>
      <c r="I72" s="275" t="s">
        <v>34</v>
      </c>
      <c r="K72" s="112" t="s">
        <v>233</v>
      </c>
      <c r="L72" s="112" t="s">
        <v>183</v>
      </c>
      <c r="M72" s="112" t="s">
        <v>184</v>
      </c>
      <c r="N72" s="112" t="s">
        <v>185</v>
      </c>
      <c r="O72" s="112" t="s">
        <v>283</v>
      </c>
      <c r="P72" s="112" t="s">
        <v>195</v>
      </c>
      <c r="Q72" s="113" t="s">
        <v>234</v>
      </c>
    </row>
    <row r="73" customFormat="false" ht="21.75" hidden="false" customHeight="true" outlineLevel="0" collapsed="false">
      <c r="B73" s="276" t="s">
        <v>25</v>
      </c>
      <c r="C73" s="115" t="n">
        <v>5779.8</v>
      </c>
      <c r="D73" s="277" t="n">
        <v>5198.6</v>
      </c>
      <c r="E73" s="278" t="n">
        <v>3766.5</v>
      </c>
      <c r="F73" s="116" t="n">
        <v>2164.1</v>
      </c>
      <c r="G73" s="279" t="n">
        <v>648.3</v>
      </c>
      <c r="H73" s="280" t="n">
        <v>291.3</v>
      </c>
      <c r="I73" s="281" t="n">
        <v>58.8</v>
      </c>
      <c r="K73" s="282" t="s">
        <v>25</v>
      </c>
      <c r="L73" s="283" t="n">
        <v>-0.5667</v>
      </c>
      <c r="M73" s="126" t="n">
        <v>-0.3733</v>
      </c>
      <c r="N73" s="284" t="n">
        <v>-0.2221</v>
      </c>
      <c r="O73" s="121" t="n">
        <v>0.145</v>
      </c>
      <c r="P73" s="285" t="n">
        <v>-0.2831</v>
      </c>
      <c r="Q73" s="122" t="n">
        <v>76</v>
      </c>
    </row>
    <row r="74" customFormat="false" ht="21.75" hidden="false" customHeight="true" outlineLevel="0" collapsed="false">
      <c r="B74" s="276" t="s">
        <v>26</v>
      </c>
      <c r="C74" s="277" t="n">
        <v>5198.6</v>
      </c>
      <c r="D74" s="286" t="n">
        <v>5487.2</v>
      </c>
      <c r="E74" s="287" t="n">
        <v>3975.6</v>
      </c>
      <c r="F74" s="116" t="n">
        <v>2284.2</v>
      </c>
      <c r="G74" s="279" t="n">
        <v>684.2</v>
      </c>
      <c r="H74" s="288" t="n">
        <v>307.5</v>
      </c>
      <c r="I74" s="281" t="n">
        <v>62.1</v>
      </c>
      <c r="K74" s="282" t="s">
        <v>26</v>
      </c>
      <c r="L74" s="283" t="n">
        <v>-0.5654</v>
      </c>
      <c r="M74" s="285" t="n">
        <v>-0.2802</v>
      </c>
      <c r="N74" s="289" t="n">
        <v>-0.1259</v>
      </c>
      <c r="O74" s="290" t="n">
        <v>0.0562</v>
      </c>
      <c r="P74" s="291" t="n">
        <v>-0.0463</v>
      </c>
      <c r="Q74" s="122" t="n">
        <v>74.1</v>
      </c>
    </row>
    <row r="75" customFormat="false" ht="21.75" hidden="false" customHeight="true" outlineLevel="0" collapsed="false">
      <c r="B75" s="276" t="s">
        <v>28</v>
      </c>
      <c r="C75" s="278" t="n">
        <v>3766.5</v>
      </c>
      <c r="D75" s="287" t="n">
        <v>3975.6</v>
      </c>
      <c r="E75" s="292" t="n">
        <v>4655</v>
      </c>
      <c r="F75" s="221" t="n">
        <v>2674.6</v>
      </c>
      <c r="G75" s="222" t="n">
        <v>801.2</v>
      </c>
      <c r="H75" s="293" t="n">
        <v>360</v>
      </c>
      <c r="I75" s="281" t="n">
        <v>72.7</v>
      </c>
      <c r="K75" s="282" t="s">
        <v>28</v>
      </c>
      <c r="L75" s="294" t="n">
        <v>-0.489</v>
      </c>
      <c r="M75" s="295" t="n">
        <v>0.1966</v>
      </c>
      <c r="N75" s="234" t="n">
        <v>0.2988</v>
      </c>
      <c r="O75" s="285" t="n">
        <v>-0.2854</v>
      </c>
      <c r="P75" s="125" t="n">
        <v>0.7075</v>
      </c>
      <c r="Q75" s="122" t="n">
        <v>68.2</v>
      </c>
    </row>
    <row r="76" customFormat="false" ht="21.75" hidden="false" customHeight="true" outlineLevel="0" collapsed="false">
      <c r="B76" s="276" t="s">
        <v>30</v>
      </c>
      <c r="C76" s="116" t="n">
        <v>2164.1</v>
      </c>
      <c r="D76" s="116" t="n">
        <v>2284.2</v>
      </c>
      <c r="E76" s="221" t="n">
        <v>2674.6</v>
      </c>
      <c r="F76" s="123" t="n">
        <v>3420</v>
      </c>
      <c r="G76" s="296" t="n">
        <v>1024.5</v>
      </c>
      <c r="H76" s="297" t="n">
        <v>460.3</v>
      </c>
      <c r="I76" s="298" t="n">
        <v>92.9</v>
      </c>
      <c r="K76" s="282" t="s">
        <v>30</v>
      </c>
      <c r="L76" s="299" t="n">
        <v>-0.325</v>
      </c>
      <c r="M76" s="300" t="n">
        <v>0.6334</v>
      </c>
      <c r="N76" s="132" t="n">
        <v>0.3616</v>
      </c>
      <c r="O76" s="225" t="n">
        <v>-0.0736</v>
      </c>
      <c r="P76" s="120" t="n">
        <v>-0.5182</v>
      </c>
      <c r="Q76" s="122" t="n">
        <v>58.5</v>
      </c>
    </row>
    <row r="77" customFormat="false" ht="21.75" hidden="false" customHeight="true" outlineLevel="0" collapsed="false">
      <c r="B77" s="276" t="s">
        <v>32</v>
      </c>
      <c r="C77" s="279" t="n">
        <v>648.3</v>
      </c>
      <c r="D77" s="279" t="n">
        <v>684.2</v>
      </c>
      <c r="E77" s="222" t="n">
        <v>801.2</v>
      </c>
      <c r="F77" s="296" t="n">
        <v>1024.5</v>
      </c>
      <c r="G77" s="235" t="n">
        <v>1520</v>
      </c>
      <c r="H77" s="279" t="n">
        <v>683</v>
      </c>
      <c r="I77" s="301" t="n">
        <v>137.9</v>
      </c>
      <c r="K77" s="282" t="s">
        <v>32</v>
      </c>
      <c r="L77" s="131" t="n">
        <v>-0.1076</v>
      </c>
      <c r="M77" s="302" t="n">
        <v>0.4418</v>
      </c>
      <c r="N77" s="285" t="n">
        <v>-0.2764</v>
      </c>
      <c r="O77" s="132" t="n">
        <v>0.393</v>
      </c>
      <c r="P77" s="225" t="n">
        <v>-0.0684</v>
      </c>
      <c r="Q77" s="122" t="n">
        <v>39</v>
      </c>
    </row>
    <row r="78" customFormat="false" ht="21.75" hidden="false" customHeight="true" outlineLevel="0" collapsed="false">
      <c r="B78" s="276" t="s">
        <v>33</v>
      </c>
      <c r="C78" s="280" t="n">
        <v>291.3</v>
      </c>
      <c r="D78" s="288" t="n">
        <v>307.5</v>
      </c>
      <c r="E78" s="293" t="n">
        <v>360</v>
      </c>
      <c r="F78" s="297" t="n">
        <v>460.3</v>
      </c>
      <c r="G78" s="279" t="n">
        <v>683</v>
      </c>
      <c r="H78" s="235" t="n">
        <v>1520</v>
      </c>
      <c r="I78" s="303" t="n">
        <v>306.9</v>
      </c>
      <c r="K78" s="282" t="s">
        <v>33</v>
      </c>
      <c r="L78" s="291" t="n">
        <v>-0.0526</v>
      </c>
      <c r="M78" s="132" t="n">
        <v>0.3564</v>
      </c>
      <c r="N78" s="283" t="n">
        <v>-0.5763</v>
      </c>
      <c r="O78" s="234" t="n">
        <v>0.3146</v>
      </c>
      <c r="P78" s="234" t="n">
        <v>0.3451</v>
      </c>
      <c r="Q78" s="122" t="n">
        <v>39</v>
      </c>
    </row>
    <row r="79" customFormat="false" ht="21.75" hidden="false" customHeight="true" outlineLevel="0" collapsed="false">
      <c r="B79" s="304" t="s">
        <v>34</v>
      </c>
      <c r="C79" s="305" t="n">
        <v>58.8</v>
      </c>
      <c r="D79" s="305" t="n">
        <v>62.1</v>
      </c>
      <c r="E79" s="305" t="n">
        <v>72.7</v>
      </c>
      <c r="F79" s="306" t="n">
        <v>92.9</v>
      </c>
      <c r="G79" s="307" t="n">
        <v>137.9</v>
      </c>
      <c r="H79" s="308" t="n">
        <v>306.9</v>
      </c>
      <c r="I79" s="309" t="n">
        <v>1520</v>
      </c>
      <c r="K79" s="282" t="s">
        <v>34</v>
      </c>
      <c r="L79" s="310" t="n">
        <v>-0.0117</v>
      </c>
      <c r="M79" s="121" t="n">
        <v>0.1419</v>
      </c>
      <c r="N79" s="283" t="n">
        <v>-0.5534</v>
      </c>
      <c r="O79" s="311" t="n">
        <v>-0.7972</v>
      </c>
      <c r="P79" s="312" t="n">
        <v>-0.1577</v>
      </c>
      <c r="Q79" s="122" t="n">
        <v>39</v>
      </c>
    </row>
    <row r="80" customFormat="false" ht="18" hidden="false" customHeight="true" outlineLevel="0" collapsed="false">
      <c r="B80" s="134" t="s">
        <v>235</v>
      </c>
      <c r="C80" s="135" t="n">
        <v>76</v>
      </c>
      <c r="D80" s="135" t="n">
        <v>74.1</v>
      </c>
      <c r="E80" s="135" t="n">
        <v>68.2</v>
      </c>
      <c r="F80" s="135" t="n">
        <v>58.5</v>
      </c>
      <c r="G80" s="135" t="n">
        <v>39</v>
      </c>
      <c r="H80" s="135" t="n">
        <v>39</v>
      </c>
      <c r="I80" s="135" t="n">
        <v>39</v>
      </c>
      <c r="K80" s="136" t="s">
        <v>236</v>
      </c>
      <c r="L80" s="248"/>
      <c r="M80" s="249"/>
      <c r="N80" s="250"/>
      <c r="O80" s="251"/>
      <c r="P80" s="139"/>
      <c r="Q80" s="140" t="s">
        <v>237</v>
      </c>
    </row>
    <row r="81" customFormat="false" ht="7.5" hidden="false" customHeight="true" outlineLevel="0" collapsed="false"/>
    <row r="82" customFormat="false" ht="21.75" hidden="false" customHeight="true" outlineLevel="0" collapsed="false">
      <c r="B82" s="5" t="s">
        <v>238</v>
      </c>
      <c r="C82" s="5"/>
      <c r="D82" s="5"/>
      <c r="E82" s="5"/>
      <c r="F82" s="5"/>
      <c r="G82" s="5"/>
      <c r="H82" s="5"/>
      <c r="I82" s="5"/>
      <c r="K82" s="56" t="s">
        <v>239</v>
      </c>
      <c r="L82" s="56"/>
      <c r="M82" s="56"/>
      <c r="N82" s="56"/>
      <c r="O82" s="56"/>
      <c r="P82" s="56"/>
      <c r="Q82" s="56"/>
    </row>
    <row r="83" customFormat="false" ht="24" hidden="false" customHeight="true" outlineLevel="0" collapsed="false">
      <c r="B83" s="81" t="s">
        <v>240</v>
      </c>
      <c r="C83" s="313" t="s">
        <v>25</v>
      </c>
      <c r="D83" s="313" t="s">
        <v>26</v>
      </c>
      <c r="E83" s="313" t="s">
        <v>28</v>
      </c>
      <c r="F83" s="313" t="s">
        <v>30</v>
      </c>
      <c r="G83" s="313" t="s">
        <v>32</v>
      </c>
      <c r="H83" s="313" t="s">
        <v>33</v>
      </c>
      <c r="I83" s="313" t="s">
        <v>34</v>
      </c>
      <c r="K83" s="10" t="s">
        <v>202</v>
      </c>
      <c r="L83" s="10" t="s">
        <v>174</v>
      </c>
      <c r="M83" s="10" t="s">
        <v>175</v>
      </c>
      <c r="N83" s="10" t="s">
        <v>176</v>
      </c>
      <c r="O83" s="74" t="s">
        <v>194</v>
      </c>
      <c r="P83" s="74" t="s">
        <v>195</v>
      </c>
      <c r="Q83" s="81" t="s">
        <v>241</v>
      </c>
    </row>
    <row r="84" customFormat="false" ht="21.75" hidden="false" customHeight="true" outlineLevel="0" collapsed="false">
      <c r="B84" s="282" t="s">
        <v>25</v>
      </c>
      <c r="C84" s="142" t="n">
        <v>1</v>
      </c>
      <c r="D84" s="314" t="n">
        <v>0.9231</v>
      </c>
      <c r="E84" s="315" t="n">
        <v>0.7261</v>
      </c>
      <c r="F84" s="258" t="n">
        <v>0.4868</v>
      </c>
      <c r="G84" s="316" t="n">
        <v>0.2187</v>
      </c>
      <c r="H84" s="317" t="n">
        <v>0.0983</v>
      </c>
      <c r="I84" s="318" t="n">
        <v>0.0198</v>
      </c>
      <c r="K84" s="145" t="s">
        <v>242</v>
      </c>
      <c r="L84" s="146" t="n">
        <v>15609.7</v>
      </c>
      <c r="M84" s="147" t="n">
        <v>2958.7</v>
      </c>
      <c r="N84" s="147" t="n">
        <v>1846.2</v>
      </c>
      <c r="O84" s="147" t="n">
        <v>1350.4</v>
      </c>
      <c r="P84" s="147" t="n">
        <v>1011.2</v>
      </c>
      <c r="Q84" s="148" t="n">
        <v>22776.2</v>
      </c>
    </row>
    <row r="85" customFormat="false" ht="21.75" hidden="false" customHeight="true" outlineLevel="0" collapsed="false">
      <c r="B85" s="282" t="s">
        <v>26</v>
      </c>
      <c r="C85" s="314" t="n">
        <v>0.9231</v>
      </c>
      <c r="D85" s="142" t="n">
        <v>1</v>
      </c>
      <c r="E85" s="253" t="n">
        <v>0.7866</v>
      </c>
      <c r="F85" s="143" t="n">
        <v>0.5273</v>
      </c>
      <c r="G85" s="254" t="n">
        <v>0.2369</v>
      </c>
      <c r="H85" s="144" t="n">
        <v>0.1065</v>
      </c>
      <c r="I85" s="319" t="n">
        <v>0.0215</v>
      </c>
      <c r="K85" s="145" t="s">
        <v>243</v>
      </c>
      <c r="L85" s="150" t="n">
        <v>124.94</v>
      </c>
      <c r="M85" s="151" t="n">
        <v>54.39</v>
      </c>
      <c r="N85" s="151" t="n">
        <v>42.97</v>
      </c>
      <c r="O85" s="151" t="n">
        <v>36.75</v>
      </c>
      <c r="P85" s="151" t="n">
        <v>31.8</v>
      </c>
      <c r="Q85" s="152"/>
    </row>
    <row r="86" customFormat="false" ht="21.75" hidden="false" customHeight="true" outlineLevel="0" collapsed="false">
      <c r="B86" s="282" t="s">
        <v>28</v>
      </c>
      <c r="C86" s="315" t="n">
        <v>0.7261</v>
      </c>
      <c r="D86" s="253" t="n">
        <v>0.7866</v>
      </c>
      <c r="E86" s="142" t="n">
        <v>1</v>
      </c>
      <c r="F86" s="255" t="n">
        <v>0.6703</v>
      </c>
      <c r="G86" s="256" t="n">
        <v>0.3012</v>
      </c>
      <c r="H86" s="257" t="n">
        <v>0.1353</v>
      </c>
      <c r="I86" s="319" t="n">
        <v>0.0273</v>
      </c>
      <c r="K86" s="145" t="s">
        <v>244</v>
      </c>
      <c r="L86" s="153" t="n">
        <v>0.6531</v>
      </c>
      <c r="M86" s="154" t="n">
        <v>0.1238</v>
      </c>
      <c r="N86" s="154" t="n">
        <v>0.0772</v>
      </c>
      <c r="O86" s="154" t="n">
        <v>0.0565</v>
      </c>
      <c r="P86" s="154" t="n">
        <v>0.0423</v>
      </c>
      <c r="Q86" s="155" t="n">
        <v>0.9529</v>
      </c>
    </row>
    <row r="87" customFormat="false" ht="21.75" hidden="false" customHeight="true" outlineLevel="0" collapsed="false">
      <c r="B87" s="282" t="s">
        <v>30</v>
      </c>
      <c r="C87" s="258" t="n">
        <v>0.4868</v>
      </c>
      <c r="D87" s="143" t="n">
        <v>0.5273</v>
      </c>
      <c r="E87" s="255" t="n">
        <v>0.6703</v>
      </c>
      <c r="F87" s="142" t="n">
        <v>1</v>
      </c>
      <c r="G87" s="258" t="n">
        <v>0.4493</v>
      </c>
      <c r="H87" s="149" t="n">
        <v>0.2019</v>
      </c>
      <c r="I87" s="320" t="n">
        <v>0.0408</v>
      </c>
      <c r="K87" s="145" t="s">
        <v>247</v>
      </c>
      <c r="L87" s="159" t="n">
        <v>0.6531</v>
      </c>
      <c r="M87" s="160" t="n">
        <v>0.7769</v>
      </c>
      <c r="N87" s="160" t="n">
        <v>0.8541</v>
      </c>
      <c r="O87" s="160" t="n">
        <v>0.9106</v>
      </c>
      <c r="P87" s="160" t="n">
        <v>0.9529</v>
      </c>
      <c r="Q87" s="155" t="n">
        <v>0.9529</v>
      </c>
    </row>
    <row r="88" customFormat="false" ht="21.75" hidden="false" customHeight="true" outlineLevel="0" collapsed="false">
      <c r="B88" s="282" t="s">
        <v>32</v>
      </c>
      <c r="C88" s="316" t="n">
        <v>0.2187</v>
      </c>
      <c r="D88" s="254" t="n">
        <v>0.2369</v>
      </c>
      <c r="E88" s="256" t="n">
        <v>0.3012</v>
      </c>
      <c r="F88" s="258" t="n">
        <v>0.4493</v>
      </c>
      <c r="G88" s="142" t="n">
        <v>1</v>
      </c>
      <c r="H88" s="258" t="n">
        <v>0.4493</v>
      </c>
      <c r="I88" s="321" t="n">
        <v>0.0907</v>
      </c>
      <c r="K88" s="145" t="s">
        <v>248</v>
      </c>
      <c r="L88" s="161" t="n">
        <v>124.9</v>
      </c>
      <c r="M88" s="162" t="n">
        <v>54.4</v>
      </c>
      <c r="N88" s="162" t="n">
        <v>43</v>
      </c>
      <c r="O88" s="162" t="n">
        <v>36.7</v>
      </c>
      <c r="P88" s="162" t="n">
        <v>31.8</v>
      </c>
      <c r="Q88" s="152"/>
    </row>
    <row r="89" customFormat="false" ht="7.5" hidden="false" customHeight="true" outlineLevel="0" collapsed="false">
      <c r="B89" s="282" t="s">
        <v>33</v>
      </c>
      <c r="C89" s="317" t="n">
        <v>0.0983</v>
      </c>
      <c r="D89" s="144" t="n">
        <v>0.1065</v>
      </c>
      <c r="E89" s="257" t="n">
        <v>0.1353</v>
      </c>
      <c r="F89" s="149" t="n">
        <v>0.2019</v>
      </c>
      <c r="G89" s="258" t="n">
        <v>0.4493</v>
      </c>
      <c r="H89" s="142" t="n">
        <v>1</v>
      </c>
      <c r="I89" s="149" t="n">
        <v>0.2019</v>
      </c>
    </row>
    <row r="90" customFormat="false" ht="21.75" hidden="false" customHeight="true" outlineLevel="0" collapsed="false">
      <c r="B90" s="282" t="s">
        <v>34</v>
      </c>
      <c r="C90" s="318" t="n">
        <v>0.0198</v>
      </c>
      <c r="D90" s="319" t="n">
        <v>0.0215</v>
      </c>
      <c r="E90" s="319" t="n">
        <v>0.0273</v>
      </c>
      <c r="F90" s="320" t="n">
        <v>0.0408</v>
      </c>
      <c r="G90" s="321" t="n">
        <v>0.0907</v>
      </c>
      <c r="H90" s="149" t="n">
        <v>0.2019</v>
      </c>
      <c r="I90" s="142" t="n">
        <v>1</v>
      </c>
    </row>
    <row r="91" customFormat="false" ht="18" hidden="false" customHeight="true" outlineLevel="0" collapsed="false">
      <c r="B91" s="156" t="s">
        <v>245</v>
      </c>
      <c r="D91" s="322"/>
      <c r="E91" s="323"/>
      <c r="F91" s="324"/>
      <c r="G91" s="325"/>
      <c r="H91" s="326"/>
      <c r="I91" s="327"/>
      <c r="J91" s="158" t="s">
        <v>246</v>
      </c>
    </row>
    <row r="92" customFormat="false" ht="7.5" hidden="false" customHeight="true" outlineLevel="0" collapsed="false"/>
    <row r="93" customFormat="false" ht="21.75" hidden="false" customHeight="true" outlineLevel="0" collapsed="false">
      <c r="A93" s="163" t="s">
        <v>301</v>
      </c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</row>
    <row r="94" customFormat="false" ht="24" hidden="false" customHeight="true" outlineLevel="0" collapsed="false">
      <c r="B94" s="81" t="s">
        <v>250</v>
      </c>
      <c r="C94" s="328" t="s">
        <v>302</v>
      </c>
      <c r="D94" s="328" t="s">
        <v>251</v>
      </c>
      <c r="E94" s="328" t="s">
        <v>285</v>
      </c>
      <c r="F94" s="328" t="s">
        <v>252</v>
      </c>
      <c r="G94" s="328" t="s">
        <v>286</v>
      </c>
      <c r="H94" s="328" t="s">
        <v>253</v>
      </c>
      <c r="I94" s="328" t="s">
        <v>303</v>
      </c>
      <c r="J94" s="69" t="s">
        <v>254</v>
      </c>
      <c r="L94" s="165" t="s">
        <v>255</v>
      </c>
    </row>
    <row r="95" customFormat="false" ht="25.5" hidden="false" customHeight="true" outlineLevel="0" collapsed="false">
      <c r="B95" s="166" t="s">
        <v>256</v>
      </c>
      <c r="C95" s="167" t="n">
        <f aca="false">IFERROR(SUMPRODUCT((BOOK!H8:H107=1)*BOOK!Q8:Q107),0)</f>
        <v>0</v>
      </c>
      <c r="D95" s="167" t="n">
        <f aca="false">IFERROR(SUMPRODUCT((BOOK!H8:H107=2)*BOOK!Q8:Q107),0)</f>
        <v>0</v>
      </c>
      <c r="E95" s="167" t="n">
        <f aca="false">IFERROR(SUMPRODUCT((BOOK!H8:H107=5)*BOOK!Q8:Q107),0)</f>
        <v>0</v>
      </c>
      <c r="F95" s="167" t="n">
        <f aca="false">IFERROR(SUMPRODUCT((BOOK!H8:H107=10)*BOOK!Q8:Q107),0)</f>
        <v>0</v>
      </c>
      <c r="G95" s="167" t="n">
        <f aca="false">IFERROR(SUMPRODUCT((BOOK!H8:H107=20)*BOOK!Q8:Q107),0)</f>
        <v>0</v>
      </c>
      <c r="H95" s="167" t="n">
        <f aca="false">IFERROR(SUMPRODUCT((BOOK!H8:H107=30)*BOOK!Q8:Q107),0)</f>
        <v>0</v>
      </c>
      <c r="I95" s="167" t="n">
        <f aca="false">IFERROR(SUMPRODUCT((BOOK!H8:H107=50)*BOOK!Q8:Q107),0)</f>
        <v>0</v>
      </c>
      <c r="J95" s="168" t="n">
        <f aca="false">SUM(C95,D95,E95,F95,G95,H95,I95)</f>
        <v>0</v>
      </c>
      <c r="L95" s="169" t="s">
        <v>257</v>
      </c>
    </row>
    <row r="96" customFormat="false" ht="6" hidden="false" customHeight="true" outlineLevel="0" collapsed="false"/>
    <row r="97" customFormat="false" ht="24" hidden="false" customHeight="true" outlineLevel="0" collapsed="false">
      <c r="B97" s="170" t="s">
        <v>258</v>
      </c>
      <c r="C97" s="171" t="s">
        <v>259</v>
      </c>
      <c r="D97" s="172" t="s">
        <v>260</v>
      </c>
      <c r="E97" s="172" t="s">
        <v>261</v>
      </c>
      <c r="F97" s="172" t="s">
        <v>234</v>
      </c>
      <c r="G97" s="172" t="s">
        <v>262</v>
      </c>
      <c r="H97" s="172" t="s">
        <v>263</v>
      </c>
      <c r="I97" s="172" t="s">
        <v>264</v>
      </c>
      <c r="J97" s="173"/>
      <c r="K97" s="174" t="s">
        <v>116</v>
      </c>
    </row>
    <row r="98" customFormat="false" ht="24" hidden="false" customHeight="true" outlineLevel="0" collapsed="false">
      <c r="B98" s="175" t="s">
        <v>265</v>
      </c>
      <c r="C98" s="176" t="s">
        <v>266</v>
      </c>
      <c r="D98" s="177" t="n">
        <v>0.3026</v>
      </c>
      <c r="E98" s="178" t="n">
        <f aca="false">IFERROR(C95*-0.566659 + D95*-0.565369 + E95*-0.489036 + F95*-0.324971 + G95*-0.107631 + H95*-0.052636 + I95*-0.011722, 0)</f>
        <v>-0</v>
      </c>
      <c r="F98" s="179" t="n">
        <v>124.94</v>
      </c>
      <c r="G98" s="180" t="n">
        <f aca="false">IFERROR(ABS(E98)*124.9386,0)</f>
        <v>0</v>
      </c>
      <c r="H98" s="181" t="n">
        <f aca="false">IFERROR(G98/MAX(SUM(G98,G99,G100,G101,G102),1),0)</f>
        <v>0</v>
      </c>
      <c r="I98" s="182" t="n">
        <f aca="false">IFERROR(ABS(E98)*124.9386/SQRT(252)*2.326,0)</f>
        <v>0</v>
      </c>
      <c r="J98" s="183"/>
      <c r="K98" s="184" t="s">
        <v>267</v>
      </c>
    </row>
    <row r="99" customFormat="false" ht="24" hidden="false" customHeight="true" outlineLevel="0" collapsed="false">
      <c r="B99" s="185" t="s">
        <v>268</v>
      </c>
      <c r="C99" s="186" t="s">
        <v>269</v>
      </c>
      <c r="D99" s="187" t="n">
        <v>0.1595</v>
      </c>
      <c r="E99" s="188" t="n">
        <f aca="false">IFERROR(C95*-0.373301 + D95*-0.280216 + E95*0.196641 + F95*0.633355 + G95*0.441802 + H95*0.356378 + I95*0.141859, 0)</f>
        <v>0</v>
      </c>
      <c r="F99" s="189" t="n">
        <v>54.39</v>
      </c>
      <c r="G99" s="190" t="n">
        <f aca="false">IFERROR(ABS(E99)*54.394,0)</f>
        <v>0</v>
      </c>
      <c r="H99" s="191" t="n">
        <f aca="false">IFERROR(G99/MAX(SUM(G98,G99,G100,G101,G102),1),0)</f>
        <v>0</v>
      </c>
      <c r="I99" s="182" t="n">
        <f aca="false">IFERROR(ABS(E99)*54.394/SQRT(252)*2.326,0)</f>
        <v>0</v>
      </c>
      <c r="J99" s="183"/>
      <c r="K99" s="192" t="s">
        <v>270</v>
      </c>
    </row>
    <row r="100" customFormat="false" ht="24" hidden="false" customHeight="true" outlineLevel="0" collapsed="false">
      <c r="B100" s="193" t="s">
        <v>271</v>
      </c>
      <c r="C100" s="194" t="s">
        <v>272</v>
      </c>
      <c r="D100" s="195" t="n">
        <v>0.1562</v>
      </c>
      <c r="E100" s="196" t="n">
        <f aca="false">IFERROR(C95*-0.222129 + D95*-0.125934 + E95*0.298798 + F95*0.361638 + G95*-0.276447 + H95*-0.57629 + I95*-0.553357, 0)</f>
        <v>0</v>
      </c>
      <c r="F100" s="197" t="n">
        <v>42.97</v>
      </c>
      <c r="G100" s="198" t="n">
        <f aca="false">IFERROR(ABS(E100)*42.9679,0)</f>
        <v>0</v>
      </c>
      <c r="H100" s="199" t="n">
        <f aca="false">IFERROR(G100/MAX(SUM(G98,G99,G100,G101,G102),1),0)</f>
        <v>0</v>
      </c>
      <c r="I100" s="182" t="n">
        <f aca="false">IFERROR(ABS(E100)*42.9679/SQRT(252)*2.326,0)</f>
        <v>0</v>
      </c>
      <c r="J100" s="183"/>
      <c r="K100" s="200" t="s">
        <v>273</v>
      </c>
    </row>
    <row r="101" customFormat="false" ht="24" hidden="false" customHeight="true" outlineLevel="0" collapsed="false">
      <c r="B101" s="262" t="s">
        <v>287</v>
      </c>
      <c r="C101" s="263" t="s">
        <v>288</v>
      </c>
      <c r="D101" s="264" t="n">
        <v>0.0353</v>
      </c>
      <c r="E101" s="265" t="n">
        <f aca="false">IFERROR(C95*0.145038 + D95*0.056212 + E95*-0.285353 + F95*-0.073646 + G95*0.392983 + H95*0.314612 + I95*-0.797206, 0)</f>
        <v>0</v>
      </c>
      <c r="F101" s="266" t="n">
        <v>36.75</v>
      </c>
      <c r="G101" s="267" t="n">
        <f aca="false">IFERROR(ABS(E101)*36.7484,0)</f>
        <v>0</v>
      </c>
      <c r="H101" s="268" t="n">
        <f aca="false">IFERROR(G101/MAX(SUM(G98,G99,G100,G101,G102),1),0)</f>
        <v>0</v>
      </c>
      <c r="I101" s="269" t="n">
        <f aca="false">IFERROR(ABS(E101)*36.7484/SQRT(252)*2.326,0)</f>
        <v>0</v>
      </c>
      <c r="J101" s="183"/>
      <c r="K101" s="270" t="s">
        <v>289</v>
      </c>
    </row>
    <row r="102" customFormat="false" ht="24" hidden="false" customHeight="true" outlineLevel="0" collapsed="false">
      <c r="B102" s="262" t="s">
        <v>290</v>
      </c>
      <c r="C102" s="263" t="s">
        <v>291</v>
      </c>
      <c r="D102" s="264" t="n">
        <v>0.003</v>
      </c>
      <c r="E102" s="265" t="n">
        <f aca="false">IFERROR(C95*-0.283085 + D95*-0.046276 + E95*0.707528 + F95*-0.518162 + G95*-0.068387 + H95*0.345107 + I95*-0.157668, 0)</f>
        <v>0</v>
      </c>
      <c r="F102" s="266" t="n">
        <v>31.8</v>
      </c>
      <c r="G102" s="267" t="n">
        <f aca="false">IFERROR(ABS(E102)*31.7991,0)</f>
        <v>0</v>
      </c>
      <c r="H102" s="268" t="n">
        <f aca="false">IFERROR(G102/MAX(SUM(G98,G99,G100,G101,G102),1),0)</f>
        <v>0</v>
      </c>
      <c r="I102" s="269" t="n">
        <f aca="false">IFERROR(ABS(E102)*31.7991/SQRT(252)*2.326,0)</f>
        <v>0</v>
      </c>
      <c r="J102" s="183"/>
      <c r="K102" s="270" t="s">
        <v>292</v>
      </c>
    </row>
    <row r="103" customFormat="false" ht="25.5" hidden="false" customHeight="true" outlineLevel="0" collapsed="false">
      <c r="B103" s="201" t="s">
        <v>274</v>
      </c>
      <c r="C103" s="201"/>
      <c r="D103" s="201"/>
      <c r="E103" s="202" t="n">
        <f aca="false">IFERROR(SQRT(SUMPRODUCT((E98~E99~E100~E101~E102)^2)),0)</f>
        <v>0</v>
      </c>
      <c r="F103" s="203"/>
      <c r="G103" s="202" t="n">
        <f aca="false">IFERROR(SQRT(SUMPRODUCT((G98~G99~G100~G101~G102)^2)),0)</f>
        <v>0</v>
      </c>
      <c r="H103" s="203"/>
      <c r="I103" s="204" t="n">
        <f aca="false">IFERROR(G103/SQRT(252)*2.326,0)</f>
        <v>0</v>
      </c>
      <c r="J103" s="203"/>
      <c r="K103" s="205"/>
    </row>
    <row r="104" customFormat="false" ht="12" hidden="false" customHeight="true" outlineLevel="0" collapsed="false"/>
    <row r="105" customFormat="false" ht="12" hidden="false" customHeight="true" outlineLevel="0" collapsed="false"/>
    <row r="106" customFormat="false" ht="36" hidden="false" customHeight="true" outlineLevel="0" collapsed="false">
      <c r="A106" s="329" t="s">
        <v>304</v>
      </c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</row>
    <row r="107" customFormat="false" ht="21.75" hidden="false" customHeight="true" outlineLevel="0" collapsed="false">
      <c r="A107" s="95" t="s">
        <v>305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</row>
    <row r="108" customFormat="false" ht="6" hidden="false" customHeight="true" outlineLevel="0" collapsed="false"/>
    <row r="109" customFormat="false" ht="21.75" hidden="false" customHeight="true" outlineLevel="0" collapsed="false">
      <c r="B109" s="56" t="s">
        <v>306</v>
      </c>
      <c r="C109" s="56"/>
      <c r="D109" s="56"/>
      <c r="E109" s="56"/>
      <c r="F109" s="56"/>
      <c r="G109" s="56"/>
      <c r="H109" s="56"/>
      <c r="I109" s="56"/>
      <c r="J109" s="56"/>
    </row>
    <row r="110" customFormat="false" ht="27.75" hidden="false" customHeight="true" outlineLevel="0" collapsed="false">
      <c r="B110" s="10" t="s">
        <v>307</v>
      </c>
      <c r="C110" s="10" t="s">
        <v>308</v>
      </c>
      <c r="D110" s="81" t="s">
        <v>309</v>
      </c>
      <c r="E110" s="81" t="s">
        <v>310</v>
      </c>
      <c r="F110" s="81" t="s">
        <v>311</v>
      </c>
      <c r="G110" s="74" t="s">
        <v>312</v>
      </c>
      <c r="H110" s="74" t="s">
        <v>313</v>
      </c>
      <c r="I110" s="81" t="s">
        <v>314</v>
      </c>
      <c r="J110" s="10" t="s">
        <v>315</v>
      </c>
    </row>
    <row r="111" customFormat="false" ht="24" hidden="false" customHeight="true" outlineLevel="0" collapsed="false">
      <c r="B111" s="330" t="s">
        <v>316</v>
      </c>
      <c r="C111" s="331" t="n">
        <v>3</v>
      </c>
      <c r="D111" s="332" t="n">
        <v>7008</v>
      </c>
      <c r="E111" s="333" t="n">
        <v>2032</v>
      </c>
      <c r="F111" s="333" t="n">
        <v>1387</v>
      </c>
      <c r="G111" s="334" t="s">
        <v>317</v>
      </c>
      <c r="H111" s="334" t="s">
        <v>317</v>
      </c>
      <c r="I111" s="335" t="n">
        <v>1</v>
      </c>
      <c r="J111" s="179" t="n">
        <v>83.7</v>
      </c>
    </row>
    <row r="112" customFormat="false" ht="24" hidden="false" customHeight="true" outlineLevel="0" collapsed="false">
      <c r="B112" s="336" t="s">
        <v>318</v>
      </c>
      <c r="C112" s="337" t="n">
        <v>5</v>
      </c>
      <c r="D112" s="332" t="n">
        <v>10995</v>
      </c>
      <c r="E112" s="338" t="n">
        <v>2448</v>
      </c>
      <c r="F112" s="338" t="n">
        <v>1536</v>
      </c>
      <c r="G112" s="338" t="n">
        <v>888</v>
      </c>
      <c r="H112" s="338" t="n">
        <v>735</v>
      </c>
      <c r="I112" s="335" t="n">
        <v>0.9022</v>
      </c>
      <c r="J112" s="179" t="n">
        <v>104.9</v>
      </c>
    </row>
    <row r="113" customFormat="false" ht="24" hidden="false" customHeight="true" outlineLevel="0" collapsed="false">
      <c r="B113" s="339" t="s">
        <v>319</v>
      </c>
      <c r="C113" s="340" t="n">
        <v>7</v>
      </c>
      <c r="D113" s="332" t="n">
        <v>15610</v>
      </c>
      <c r="E113" s="341" t="n">
        <v>2959</v>
      </c>
      <c r="F113" s="341" t="n">
        <v>1846</v>
      </c>
      <c r="G113" s="341" t="n">
        <v>1350</v>
      </c>
      <c r="H113" s="341" t="n">
        <v>1011</v>
      </c>
      <c r="I113" s="335" t="n">
        <v>0.8541</v>
      </c>
      <c r="J113" s="179" t="n">
        <v>124.9</v>
      </c>
    </row>
    <row r="114" customFormat="false" ht="7.5" hidden="false" customHeight="true" outlineLevel="0" collapsed="false"/>
    <row r="115" customFormat="false" ht="21.75" hidden="false" customHeight="true" outlineLevel="0" collapsed="false">
      <c r="B115" s="108" t="s">
        <v>320</v>
      </c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</row>
    <row r="116" customFormat="false" ht="24" hidden="false" customHeight="true" outlineLevel="0" collapsed="false">
      <c r="B116" s="112" t="s">
        <v>321</v>
      </c>
      <c r="C116" s="112" t="s">
        <v>322</v>
      </c>
      <c r="D116" s="81" t="s">
        <v>323</v>
      </c>
      <c r="E116" s="12" t="s">
        <v>324</v>
      </c>
      <c r="F116" s="27" t="s">
        <v>325</v>
      </c>
      <c r="G116" s="112" t="s">
        <v>259</v>
      </c>
    </row>
    <row r="117" customFormat="false" ht="19.5" hidden="false" customHeight="true" outlineLevel="0" collapsed="false">
      <c r="B117" s="330" t="s">
        <v>26</v>
      </c>
      <c r="C117" s="342" t="s">
        <v>326</v>
      </c>
      <c r="D117" s="119" t="n">
        <v>-0.8345</v>
      </c>
      <c r="E117" s="343" t="n">
        <v>-0.5361</v>
      </c>
      <c r="F117" s="121" t="n">
        <v>0.1268</v>
      </c>
      <c r="G117" s="344" t="s">
        <v>327</v>
      </c>
    </row>
    <row r="118" customFormat="false" ht="19.5" hidden="false" customHeight="true" outlineLevel="0" collapsed="false">
      <c r="B118" s="336" t="s">
        <v>26</v>
      </c>
      <c r="C118" s="342" t="s">
        <v>328</v>
      </c>
      <c r="D118" s="216" t="n">
        <v>-0.6424</v>
      </c>
      <c r="E118" s="217" t="n">
        <v>-0.464</v>
      </c>
      <c r="F118" s="126" t="n">
        <v>-0.3821</v>
      </c>
      <c r="G118" s="344" t="s">
        <v>327</v>
      </c>
    </row>
    <row r="119" customFormat="false" ht="19.5" hidden="false" customHeight="true" outlineLevel="0" collapsed="false">
      <c r="B119" s="339" t="s">
        <v>26</v>
      </c>
      <c r="C119" s="342" t="s">
        <v>329</v>
      </c>
      <c r="D119" s="283" t="n">
        <v>-0.5654</v>
      </c>
      <c r="E119" s="285" t="n">
        <v>-0.2802</v>
      </c>
      <c r="F119" s="289" t="n">
        <v>-0.1259</v>
      </c>
      <c r="G119" s="344" t="s">
        <v>330</v>
      </c>
    </row>
    <row r="120" customFormat="false" ht="19.5" hidden="false" customHeight="true" outlineLevel="0" collapsed="false">
      <c r="B120" s="336" t="s">
        <v>28</v>
      </c>
      <c r="C120" s="342" t="s">
        <v>328</v>
      </c>
      <c r="D120" s="224" t="n">
        <v>-0.6091</v>
      </c>
      <c r="E120" s="225" t="n">
        <v>-0.0791</v>
      </c>
      <c r="F120" s="226" t="n">
        <v>0.162</v>
      </c>
      <c r="G120" s="344" t="s">
        <v>330</v>
      </c>
    </row>
    <row r="121" customFormat="false" ht="19.5" hidden="false" customHeight="true" outlineLevel="0" collapsed="false">
      <c r="B121" s="339" t="s">
        <v>28</v>
      </c>
      <c r="C121" s="342" t="s">
        <v>329</v>
      </c>
      <c r="D121" s="294" t="n">
        <v>-0.489</v>
      </c>
      <c r="E121" s="295" t="n">
        <v>0.1966</v>
      </c>
      <c r="F121" s="234" t="n">
        <v>0.2988</v>
      </c>
      <c r="G121" s="344" t="s">
        <v>331</v>
      </c>
    </row>
    <row r="122" customFormat="false" ht="19.5" hidden="false" customHeight="true" outlineLevel="0" collapsed="false">
      <c r="B122" s="330" t="s">
        <v>30</v>
      </c>
      <c r="C122" s="342" t="s">
        <v>326</v>
      </c>
      <c r="D122" s="343" t="n">
        <v>-0.5432</v>
      </c>
      <c r="E122" s="125" t="n">
        <v>0.7621</v>
      </c>
      <c r="F122" s="126" t="n">
        <v>-0.3525</v>
      </c>
      <c r="G122" s="344" t="s">
        <v>332</v>
      </c>
    </row>
    <row r="123" customFormat="false" ht="19.5" hidden="false" customHeight="true" outlineLevel="0" collapsed="false">
      <c r="B123" s="336" t="s">
        <v>30</v>
      </c>
      <c r="C123" s="342" t="s">
        <v>328</v>
      </c>
      <c r="D123" s="231" t="n">
        <v>-0.4337</v>
      </c>
      <c r="E123" s="233" t="n">
        <v>0.5353</v>
      </c>
      <c r="F123" s="233" t="n">
        <v>0.5579</v>
      </c>
      <c r="G123" s="344" t="s">
        <v>333</v>
      </c>
    </row>
    <row r="124" customFormat="false" ht="19.5" hidden="false" customHeight="true" outlineLevel="0" collapsed="false">
      <c r="B124" s="339" t="s">
        <v>30</v>
      </c>
      <c r="C124" s="342" t="s">
        <v>329</v>
      </c>
      <c r="D124" s="299" t="n">
        <v>-0.325</v>
      </c>
      <c r="E124" s="300" t="n">
        <v>0.6334</v>
      </c>
      <c r="F124" s="132" t="n">
        <v>0.3616</v>
      </c>
      <c r="G124" s="344" t="s">
        <v>333</v>
      </c>
    </row>
    <row r="125" customFormat="false" ht="19.5" hidden="false" customHeight="true" outlineLevel="0" collapsed="false">
      <c r="B125" s="336" t="s">
        <v>32</v>
      </c>
      <c r="C125" s="342" t="s">
        <v>328</v>
      </c>
      <c r="D125" s="237" t="n">
        <v>-0.1502</v>
      </c>
      <c r="E125" s="345" t="n">
        <v>0.5237</v>
      </c>
      <c r="F125" s="239" t="n">
        <v>-0.3044</v>
      </c>
      <c r="G125" s="344" t="s">
        <v>333</v>
      </c>
    </row>
    <row r="126" customFormat="false" ht="19.5" hidden="false" customHeight="true" outlineLevel="0" collapsed="false">
      <c r="B126" s="339" t="s">
        <v>32</v>
      </c>
      <c r="C126" s="342" t="s">
        <v>329</v>
      </c>
      <c r="D126" s="131" t="n">
        <v>-0.1076</v>
      </c>
      <c r="E126" s="302" t="n">
        <v>0.4418</v>
      </c>
      <c r="F126" s="285" t="n">
        <v>-0.2764</v>
      </c>
      <c r="G126" s="344" t="s">
        <v>333</v>
      </c>
    </row>
    <row r="127" customFormat="false" ht="19.5" hidden="false" customHeight="true" outlineLevel="0" collapsed="false">
      <c r="B127" s="330" t="s">
        <v>33</v>
      </c>
      <c r="C127" s="342" t="s">
        <v>326</v>
      </c>
      <c r="D127" s="131" t="n">
        <v>-0.0923</v>
      </c>
      <c r="E127" s="132" t="n">
        <v>0.363</v>
      </c>
      <c r="F127" s="133" t="n">
        <v>0.9272</v>
      </c>
      <c r="G127" s="344" t="s">
        <v>331</v>
      </c>
    </row>
    <row r="128" customFormat="false" ht="19.5" hidden="false" customHeight="true" outlineLevel="0" collapsed="false">
      <c r="B128" s="336" t="s">
        <v>33</v>
      </c>
      <c r="C128" s="342" t="s">
        <v>328</v>
      </c>
      <c r="D128" s="225" t="n">
        <v>-0.0759</v>
      </c>
      <c r="E128" s="218" t="n">
        <v>0.4665</v>
      </c>
      <c r="F128" s="247" t="n">
        <v>-0.6511</v>
      </c>
      <c r="G128" s="344" t="s">
        <v>333</v>
      </c>
    </row>
    <row r="129" customFormat="false" ht="19.5" hidden="false" customHeight="true" outlineLevel="0" collapsed="false">
      <c r="B129" s="339" t="s">
        <v>33</v>
      </c>
      <c r="C129" s="342" t="s">
        <v>329</v>
      </c>
      <c r="D129" s="291" t="n">
        <v>-0.0526</v>
      </c>
      <c r="E129" s="132" t="n">
        <v>0.3564</v>
      </c>
      <c r="F129" s="283" t="n">
        <v>-0.5763</v>
      </c>
      <c r="G129" s="344" t="s">
        <v>331</v>
      </c>
    </row>
    <row r="130" customFormat="false" ht="7.5" hidden="false" customHeight="true" outlineLevel="0" collapsed="false"/>
    <row r="131" customFormat="false" ht="21.75" hidden="false" customHeight="true" outlineLevel="0" collapsed="false">
      <c r="B131" s="5" t="s">
        <v>334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customFormat="false" ht="48" hidden="false" customHeight="true" outlineLevel="0" collapsed="false">
      <c r="B132" s="346" t="s">
        <v>335</v>
      </c>
      <c r="C132" s="347" t="s">
        <v>336</v>
      </c>
      <c r="D132" s="347"/>
      <c r="E132" s="347"/>
      <c r="F132" s="347"/>
      <c r="G132" s="347"/>
      <c r="H132" s="347"/>
      <c r="I132" s="347"/>
      <c r="J132" s="347"/>
      <c r="K132" s="347"/>
      <c r="L132" s="347"/>
    </row>
    <row r="133" customFormat="false" ht="48" hidden="false" customHeight="true" outlineLevel="0" collapsed="false">
      <c r="B133" s="348" t="s">
        <v>337</v>
      </c>
      <c r="C133" s="347" t="s">
        <v>338</v>
      </c>
      <c r="D133" s="347"/>
      <c r="E133" s="347"/>
      <c r="F133" s="347"/>
      <c r="G133" s="347"/>
      <c r="H133" s="347"/>
      <c r="I133" s="347"/>
      <c r="J133" s="347"/>
      <c r="K133" s="347"/>
      <c r="L133" s="347"/>
    </row>
    <row r="134" customFormat="false" ht="48" hidden="false" customHeight="true" outlineLevel="0" collapsed="false">
      <c r="B134" s="349" t="s">
        <v>339</v>
      </c>
      <c r="C134" s="347" t="s">
        <v>340</v>
      </c>
      <c r="D134" s="347"/>
      <c r="E134" s="347"/>
      <c r="F134" s="347"/>
      <c r="G134" s="347"/>
      <c r="H134" s="347"/>
      <c r="I134" s="347"/>
      <c r="J134" s="347"/>
      <c r="K134" s="347"/>
      <c r="L134" s="347"/>
    </row>
    <row r="135" customFormat="false" ht="48" hidden="false" customHeight="true" outlineLevel="0" collapsed="false">
      <c r="B135" s="350" t="s">
        <v>341</v>
      </c>
      <c r="C135" s="347" t="s">
        <v>342</v>
      </c>
      <c r="D135" s="347"/>
      <c r="E135" s="347"/>
      <c r="F135" s="347"/>
      <c r="G135" s="347"/>
      <c r="H135" s="347"/>
      <c r="I135" s="347"/>
      <c r="J135" s="347"/>
      <c r="K135" s="347"/>
      <c r="L135" s="347"/>
    </row>
  </sheetData>
  <mergeCells count="32">
    <mergeCell ref="A1:S1"/>
    <mergeCell ref="A2:S2"/>
    <mergeCell ref="A5:S5"/>
    <mergeCell ref="B8:E8"/>
    <mergeCell ref="K8:N8"/>
    <mergeCell ref="B15:E15"/>
    <mergeCell ref="K15:O15"/>
    <mergeCell ref="A23:S23"/>
    <mergeCell ref="B31:D31"/>
    <mergeCell ref="A34:S34"/>
    <mergeCell ref="B37:G37"/>
    <mergeCell ref="K37:P37"/>
    <mergeCell ref="B46:G46"/>
    <mergeCell ref="K46:Q46"/>
    <mergeCell ref="A55:S55"/>
    <mergeCell ref="B65:D65"/>
    <mergeCell ref="A68:S68"/>
    <mergeCell ref="B71:I71"/>
    <mergeCell ref="K71:P71"/>
    <mergeCell ref="B82:I82"/>
    <mergeCell ref="K82:Q82"/>
    <mergeCell ref="A93:S93"/>
    <mergeCell ref="B103:D103"/>
    <mergeCell ref="A106:S106"/>
    <mergeCell ref="A107:S107"/>
    <mergeCell ref="B109:J109"/>
    <mergeCell ref="B115:L115"/>
    <mergeCell ref="B131:L131"/>
    <mergeCell ref="C132:L132"/>
    <mergeCell ref="C133:L133"/>
    <mergeCell ref="C134:L134"/>
    <mergeCell ref="C135:L135"/>
  </mergeCells>
  <conditionalFormatting sqref="H28:H30">
    <cfRule type="colorScale" priority="2">
      <colorScale>
        <cfvo type="num" val="0"/>
        <cfvo type="num" val="1"/>
        <color rgb="FFFFFFFF"/>
        <color rgb="FF1565C0"/>
      </colorScale>
    </cfRule>
  </conditionalFormatting>
  <conditionalFormatting sqref="H60:H64">
    <cfRule type="colorScale" priority="3">
      <colorScale>
        <cfvo type="num" val="0"/>
        <cfvo type="num" val="1"/>
        <color rgb="FFFFFFFF"/>
        <color rgb="FF1565C0"/>
      </colorScale>
    </cfRule>
  </conditionalFormatting>
  <conditionalFormatting sqref="H98:H102">
    <cfRule type="colorScale" priority="4">
      <colorScale>
        <cfvo type="num" val="0"/>
        <cfvo type="num" val="1"/>
        <color rgb="FFFFFFFF"/>
        <color rgb="FF1565C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S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0" topLeftCell="B31" activePane="bottomRight" state="frozen"/>
      <selection pane="topLeft" activeCell="A1" activeCellId="0" sqref="A1"/>
      <selection pane="topRight" activeCell="B1" activeCellId="0" sqref="B1"/>
      <selection pane="bottomLeft" activeCell="A31" activeCellId="0" sqref="A3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7" min="5" style="0" width="13"/>
    <col collapsed="false" customWidth="true" hidden="false" outlineLevel="0" max="9" min="8" style="0" width="11"/>
    <col collapsed="false" customWidth="true" hidden="false" outlineLevel="0" max="10" min="10" style="0" width="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5" min="13" style="0" width="12"/>
    <col collapsed="false" customWidth="true" hidden="false" outlineLevel="0" max="18" min="16" style="0" width="11"/>
    <col collapsed="false" customWidth="true" hidden="false" outlineLevel="0" max="19" min="19" style="0" width="3"/>
  </cols>
  <sheetData>
    <row r="1" customFormat="false" ht="39.75" hidden="false" customHeight="true" outlineLevel="0" collapsed="false">
      <c r="A1" s="351" t="s">
        <v>343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</row>
    <row r="2" customFormat="false" ht="18" hidden="false" customHeight="true" outlineLevel="0" collapsed="false">
      <c r="A2" s="352" t="s">
        <v>344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</row>
    <row r="3" customFormat="false" ht="7.5" hidden="false" customHeight="true" outlineLevel="0" collapsed="false"/>
    <row r="4" customFormat="false" ht="25.5" hidden="false" customHeight="true" outlineLevel="0" collapsed="false">
      <c r="A4" s="353" t="s">
        <v>345</v>
      </c>
      <c r="B4" s="353"/>
      <c r="C4" s="353"/>
      <c r="D4" s="353"/>
      <c r="E4" s="353"/>
      <c r="F4" s="353"/>
      <c r="G4" s="353"/>
      <c r="H4" s="353"/>
      <c r="I4" s="353"/>
      <c r="K4" s="56" t="s">
        <v>346</v>
      </c>
      <c r="L4" s="56"/>
      <c r="M4" s="56"/>
      <c r="N4" s="56"/>
      <c r="O4" s="56"/>
      <c r="P4" s="56"/>
      <c r="Q4" s="56"/>
      <c r="R4" s="56"/>
    </row>
    <row r="5" customFormat="false" ht="25.5" hidden="false" customHeight="true" outlineLevel="0" collapsed="false">
      <c r="B5" s="354" t="s">
        <v>347</v>
      </c>
      <c r="C5" s="354" t="s">
        <v>99</v>
      </c>
      <c r="D5" s="354" t="s">
        <v>348</v>
      </c>
      <c r="E5" s="354" t="s">
        <v>349</v>
      </c>
      <c r="F5" s="354" t="s">
        <v>350</v>
      </c>
      <c r="G5" s="354" t="s">
        <v>351</v>
      </c>
      <c r="H5" s="354" t="s">
        <v>352</v>
      </c>
      <c r="I5" s="354" t="s">
        <v>353</v>
      </c>
      <c r="K5" s="10" t="s">
        <v>354</v>
      </c>
      <c r="L5" s="10" t="s">
        <v>355</v>
      </c>
      <c r="M5" s="10" t="s">
        <v>356</v>
      </c>
      <c r="N5" s="10" t="s">
        <v>357</v>
      </c>
      <c r="O5" s="10" t="s">
        <v>358</v>
      </c>
      <c r="P5" s="10" t="s">
        <v>359</v>
      </c>
      <c r="Q5" s="10" t="s">
        <v>360</v>
      </c>
      <c r="R5" s="10"/>
    </row>
    <row r="6" customFormat="false" ht="21.75" hidden="false" customHeight="true" outlineLevel="0" collapsed="false">
      <c r="B6" s="355" t="s">
        <v>361</v>
      </c>
      <c r="C6" s="356" t="s">
        <v>362</v>
      </c>
      <c r="D6" s="357" t="n">
        <v>3.45</v>
      </c>
      <c r="E6" s="358" t="n">
        <f aca="false">100-D6</f>
        <v>96.55</v>
      </c>
      <c r="F6" s="359" t="n">
        <v>0</v>
      </c>
      <c r="G6" s="360" t="n">
        <v>125000</v>
      </c>
      <c r="H6" s="361" t="n">
        <v>25</v>
      </c>
      <c r="I6" s="362" t="n">
        <v>2.5</v>
      </c>
      <c r="K6" s="363" t="s">
        <v>363</v>
      </c>
      <c r="L6" s="364" t="s">
        <v>364</v>
      </c>
      <c r="M6" s="357" t="n">
        <v>3.125</v>
      </c>
      <c r="N6" s="365" t="n">
        <v>0</v>
      </c>
      <c r="O6" s="366" t="n">
        <f aca="false">N6*4*25</f>
        <v>0</v>
      </c>
      <c r="P6" s="366" t="n">
        <f aca="false">N6*4*25/100</f>
        <v>0</v>
      </c>
      <c r="Q6" s="367" t="s">
        <v>365</v>
      </c>
    </row>
    <row r="7" customFormat="false" ht="21.75" hidden="false" customHeight="true" outlineLevel="0" collapsed="false">
      <c r="B7" s="368" t="s">
        <v>366</v>
      </c>
      <c r="C7" s="369" t="s">
        <v>367</v>
      </c>
      <c r="D7" s="357" t="n">
        <v>3.2</v>
      </c>
      <c r="E7" s="370" t="n">
        <f aca="false">100-D7</f>
        <v>96.8</v>
      </c>
      <c r="F7" s="359" t="n">
        <v>0</v>
      </c>
      <c r="G7" s="371" t="n">
        <v>118000</v>
      </c>
      <c r="H7" s="372" t="n">
        <v>25</v>
      </c>
      <c r="I7" s="362" t="n">
        <v>2.5</v>
      </c>
      <c r="K7" s="373" t="s">
        <v>368</v>
      </c>
      <c r="L7" s="374" t="s">
        <v>369</v>
      </c>
      <c r="M7" s="357" t="n">
        <v>2.633</v>
      </c>
      <c r="N7" s="365" t="n">
        <v>0</v>
      </c>
      <c r="O7" s="375" t="n">
        <f aca="false">N7*4*25</f>
        <v>0</v>
      </c>
      <c r="P7" s="375" t="n">
        <f aca="false">N7*4*25/100</f>
        <v>0</v>
      </c>
      <c r="Q7" s="376" t="s">
        <v>370</v>
      </c>
    </row>
    <row r="8" customFormat="false" ht="21.75" hidden="false" customHeight="true" outlineLevel="0" collapsed="false">
      <c r="B8" s="355" t="s">
        <v>371</v>
      </c>
      <c r="C8" s="356" t="s">
        <v>372</v>
      </c>
      <c r="D8" s="357" t="n">
        <v>3</v>
      </c>
      <c r="E8" s="358" t="n">
        <f aca="false">100-D8</f>
        <v>97</v>
      </c>
      <c r="F8" s="359" t="n">
        <v>0</v>
      </c>
      <c r="G8" s="360" t="n">
        <v>108000</v>
      </c>
      <c r="H8" s="361" t="n">
        <v>25</v>
      </c>
      <c r="I8" s="362" t="n">
        <v>2.5</v>
      </c>
      <c r="K8" s="363" t="s">
        <v>373</v>
      </c>
      <c r="L8" s="364" t="s">
        <v>374</v>
      </c>
      <c r="M8" s="357" t="n">
        <v>2.518</v>
      </c>
      <c r="N8" s="365" t="n">
        <v>0</v>
      </c>
      <c r="O8" s="366" t="n">
        <f aca="false">N8*4*25</f>
        <v>0</v>
      </c>
      <c r="P8" s="366" t="n">
        <f aca="false">N8*4*25/100</f>
        <v>0</v>
      </c>
      <c r="Q8" s="367" t="s">
        <v>375</v>
      </c>
    </row>
    <row r="9" customFormat="false" ht="21.75" hidden="false" customHeight="true" outlineLevel="0" collapsed="false">
      <c r="B9" s="368" t="s">
        <v>376</v>
      </c>
      <c r="C9" s="369" t="s">
        <v>377</v>
      </c>
      <c r="D9" s="357" t="n">
        <v>2.85</v>
      </c>
      <c r="E9" s="370" t="n">
        <f aca="false">100-D9</f>
        <v>97.15</v>
      </c>
      <c r="F9" s="359" t="n">
        <v>0</v>
      </c>
      <c r="G9" s="371" t="n">
        <v>95000</v>
      </c>
      <c r="H9" s="372" t="n">
        <v>25</v>
      </c>
      <c r="I9" s="362" t="n">
        <v>2.5</v>
      </c>
      <c r="K9" s="373" t="s">
        <v>378</v>
      </c>
      <c r="L9" s="374" t="s">
        <v>379</v>
      </c>
      <c r="M9" s="357" t="n">
        <v>2.878</v>
      </c>
      <c r="N9" s="365" t="n">
        <v>0</v>
      </c>
      <c r="O9" s="375" t="n">
        <f aca="false">N9*8*25</f>
        <v>0</v>
      </c>
      <c r="P9" s="375" t="n">
        <f aca="false">N9*8*25/100</f>
        <v>0</v>
      </c>
      <c r="Q9" s="376" t="s">
        <v>380</v>
      </c>
    </row>
    <row r="10" customFormat="false" ht="21.75" hidden="false" customHeight="true" outlineLevel="0" collapsed="false">
      <c r="B10" s="355" t="s">
        <v>381</v>
      </c>
      <c r="C10" s="356" t="s">
        <v>382</v>
      </c>
      <c r="D10" s="357" t="n">
        <v>2.72</v>
      </c>
      <c r="E10" s="358" t="n">
        <f aca="false">100-D10</f>
        <v>97.28</v>
      </c>
      <c r="F10" s="359" t="n">
        <v>0</v>
      </c>
      <c r="G10" s="360" t="n">
        <v>82000</v>
      </c>
      <c r="H10" s="361" t="n">
        <v>25</v>
      </c>
      <c r="I10" s="362" t="n">
        <v>2.5</v>
      </c>
      <c r="K10" s="363" t="s">
        <v>383</v>
      </c>
      <c r="L10" s="364" t="s">
        <v>384</v>
      </c>
      <c r="M10" s="357" t="n">
        <v>2.762</v>
      </c>
      <c r="N10" s="365" t="n">
        <v>0</v>
      </c>
      <c r="O10" s="366" t="n">
        <f aca="false">N10*12*25</f>
        <v>0</v>
      </c>
      <c r="P10" s="366" t="n">
        <f aca="false">N10*12*25/100</f>
        <v>0</v>
      </c>
      <c r="Q10" s="367" t="s">
        <v>385</v>
      </c>
    </row>
    <row r="11" customFormat="false" ht="19.5" hidden="false" customHeight="true" outlineLevel="0" collapsed="false">
      <c r="B11" s="368" t="s">
        <v>386</v>
      </c>
      <c r="C11" s="369" t="s">
        <v>387</v>
      </c>
      <c r="D11" s="357" t="n">
        <v>2.65</v>
      </c>
      <c r="E11" s="370" t="n">
        <f aca="false">100-D11</f>
        <v>97.35</v>
      </c>
      <c r="F11" s="359" t="n">
        <v>0</v>
      </c>
      <c r="G11" s="371" t="n">
        <v>71000</v>
      </c>
      <c r="H11" s="372" t="n">
        <v>25</v>
      </c>
      <c r="I11" s="362" t="n">
        <v>2.5</v>
      </c>
    </row>
    <row r="12" customFormat="false" ht="19.5" hidden="false" customHeight="true" outlineLevel="0" collapsed="false">
      <c r="B12" s="355" t="s">
        <v>388</v>
      </c>
      <c r="C12" s="356" t="s">
        <v>389</v>
      </c>
      <c r="D12" s="357" t="n">
        <v>2.6</v>
      </c>
      <c r="E12" s="358" t="n">
        <f aca="false">100-D12</f>
        <v>97.4</v>
      </c>
      <c r="F12" s="359" t="n">
        <v>0</v>
      </c>
      <c r="G12" s="360" t="n">
        <v>58000</v>
      </c>
      <c r="H12" s="361" t="n">
        <v>25</v>
      </c>
      <c r="I12" s="362" t="n">
        <v>2.5</v>
      </c>
    </row>
    <row r="13" customFormat="false" ht="19.5" hidden="false" customHeight="true" outlineLevel="0" collapsed="false">
      <c r="B13" s="368" t="s">
        <v>390</v>
      </c>
      <c r="C13" s="369" t="s">
        <v>391</v>
      </c>
      <c r="D13" s="357" t="n">
        <v>2.56</v>
      </c>
      <c r="E13" s="370" t="n">
        <f aca="false">100-D13</f>
        <v>97.44</v>
      </c>
      <c r="F13" s="359" t="n">
        <v>0</v>
      </c>
      <c r="G13" s="371" t="n">
        <v>45000</v>
      </c>
      <c r="H13" s="372" t="n">
        <v>25</v>
      </c>
      <c r="I13" s="362" t="n">
        <v>2.5</v>
      </c>
    </row>
    <row r="14" customFormat="false" ht="19.5" hidden="false" customHeight="true" outlineLevel="0" collapsed="false">
      <c r="B14" s="355" t="s">
        <v>392</v>
      </c>
      <c r="C14" s="356" t="s">
        <v>393</v>
      </c>
      <c r="D14" s="357" t="n">
        <v>2.53</v>
      </c>
      <c r="E14" s="358" t="n">
        <f aca="false">100-D14</f>
        <v>97.47</v>
      </c>
      <c r="F14" s="359" t="n">
        <v>0</v>
      </c>
      <c r="G14" s="360" t="n">
        <v>35000</v>
      </c>
      <c r="H14" s="361" t="n">
        <v>25</v>
      </c>
      <c r="I14" s="362" t="n">
        <v>2.5</v>
      </c>
    </row>
    <row r="15" customFormat="false" ht="19.5" hidden="false" customHeight="true" outlineLevel="0" collapsed="false">
      <c r="B15" s="368" t="s">
        <v>394</v>
      </c>
      <c r="C15" s="369" t="s">
        <v>395</v>
      </c>
      <c r="D15" s="357" t="n">
        <v>2.52</v>
      </c>
      <c r="E15" s="370" t="n">
        <f aca="false">100-D15</f>
        <v>97.48</v>
      </c>
      <c r="F15" s="359" t="n">
        <v>0</v>
      </c>
      <c r="G15" s="371" t="n">
        <v>28000</v>
      </c>
      <c r="H15" s="372" t="n">
        <v>25</v>
      </c>
      <c r="I15" s="362" t="n">
        <v>2.5</v>
      </c>
    </row>
    <row r="16" customFormat="false" ht="19.5" hidden="false" customHeight="true" outlineLevel="0" collapsed="false">
      <c r="B16" s="355" t="s">
        <v>396</v>
      </c>
      <c r="C16" s="356" t="s">
        <v>397</v>
      </c>
      <c r="D16" s="357" t="n">
        <v>2.51</v>
      </c>
      <c r="E16" s="358" t="n">
        <f aca="false">100-D16</f>
        <v>97.49</v>
      </c>
      <c r="F16" s="359" t="n">
        <v>0</v>
      </c>
      <c r="G16" s="360" t="n">
        <v>22000</v>
      </c>
      <c r="H16" s="361" t="n">
        <v>25</v>
      </c>
      <c r="I16" s="362" t="n">
        <v>2.5</v>
      </c>
    </row>
    <row r="17" customFormat="false" ht="19.5" hidden="false" customHeight="true" outlineLevel="0" collapsed="false">
      <c r="B17" s="368" t="s">
        <v>398</v>
      </c>
      <c r="C17" s="369" t="s">
        <v>399</v>
      </c>
      <c r="D17" s="357" t="n">
        <v>2.51</v>
      </c>
      <c r="E17" s="370" t="n">
        <f aca="false">100-D17</f>
        <v>97.49</v>
      </c>
      <c r="F17" s="359" t="n">
        <v>0</v>
      </c>
      <c r="G17" s="371" t="n">
        <v>18000</v>
      </c>
      <c r="H17" s="372" t="n">
        <v>25</v>
      </c>
      <c r="I17" s="362" t="n">
        <v>2.5</v>
      </c>
    </row>
    <row r="19" customFormat="false" ht="25.5" hidden="false" customHeight="true" outlineLevel="0" collapsed="false">
      <c r="A19" s="5" t="s">
        <v>400</v>
      </c>
      <c r="B19" s="5"/>
      <c r="C19" s="5"/>
      <c r="D19" s="5"/>
      <c r="E19" s="5"/>
      <c r="F19" s="5"/>
      <c r="G19" s="5"/>
      <c r="H19" s="5"/>
      <c r="I19" s="5"/>
    </row>
    <row r="20" customFormat="false" ht="25.5" hidden="false" customHeight="true" outlineLevel="0" collapsed="false">
      <c r="B20" s="377" t="s">
        <v>401</v>
      </c>
      <c r="C20" s="377" t="s">
        <v>347</v>
      </c>
      <c r="D20" s="377" t="s">
        <v>99</v>
      </c>
      <c r="E20" s="377" t="s">
        <v>349</v>
      </c>
      <c r="F20" s="377" t="s">
        <v>402</v>
      </c>
      <c r="G20" s="377" t="s">
        <v>403</v>
      </c>
      <c r="H20" s="377" t="s">
        <v>404</v>
      </c>
      <c r="I20" s="377" t="s">
        <v>405</v>
      </c>
    </row>
    <row r="21" customFormat="false" ht="19.5" hidden="false" customHeight="true" outlineLevel="0" collapsed="false">
      <c r="B21" s="378" t="s">
        <v>406</v>
      </c>
      <c r="C21" s="379" t="s">
        <v>407</v>
      </c>
      <c r="D21" s="380" t="s">
        <v>362</v>
      </c>
      <c r="E21" s="381" t="n">
        <v>128.5</v>
      </c>
      <c r="F21" s="382" t="n">
        <v>20.5</v>
      </c>
      <c r="G21" s="383" t="n">
        <f aca="false">ROUND(F21*100000*0.0001,2)</f>
        <v>205</v>
      </c>
      <c r="H21" s="384" t="n">
        <v>0.0125</v>
      </c>
      <c r="I21" s="385" t="n">
        <v>0.0245</v>
      </c>
    </row>
    <row r="22" customFormat="false" ht="19.5" hidden="false" customHeight="true" outlineLevel="0" collapsed="false">
      <c r="B22" s="386" t="s">
        <v>408</v>
      </c>
      <c r="C22" s="387" t="s">
        <v>409</v>
      </c>
      <c r="D22" s="388" t="s">
        <v>362</v>
      </c>
      <c r="E22" s="381" t="n">
        <v>134.2</v>
      </c>
      <c r="F22" s="382" t="n">
        <v>8.8</v>
      </c>
      <c r="G22" s="389" t="n">
        <f aca="false">ROUND(F22*100000*0.0001,2)</f>
        <v>88</v>
      </c>
      <c r="H22" s="384" t="n">
        <v>0.02</v>
      </c>
      <c r="I22" s="385" t="n">
        <v>0.0252</v>
      </c>
    </row>
    <row r="23" customFormat="false" ht="19.5" hidden="false" customHeight="true" outlineLevel="0" collapsed="false">
      <c r="B23" s="378" t="s">
        <v>410</v>
      </c>
      <c r="C23" s="379" t="s">
        <v>411</v>
      </c>
      <c r="D23" s="380" t="s">
        <v>362</v>
      </c>
      <c r="E23" s="381" t="n">
        <v>118.4</v>
      </c>
      <c r="F23" s="382" t="n">
        <v>4.6</v>
      </c>
      <c r="G23" s="383" t="n">
        <f aca="false">ROUND(F23*100000*0.0001,2)</f>
        <v>46</v>
      </c>
      <c r="H23" s="384" t="n">
        <v>0.01</v>
      </c>
      <c r="I23" s="385" t="n">
        <v>0.0268</v>
      </c>
    </row>
    <row r="24" customFormat="false" ht="19.5" hidden="false" customHeight="true" outlineLevel="0" collapsed="false">
      <c r="B24" s="386" t="s">
        <v>412</v>
      </c>
      <c r="C24" s="387" t="s">
        <v>413</v>
      </c>
      <c r="D24" s="388" t="s">
        <v>362</v>
      </c>
      <c r="E24" s="381" t="n">
        <v>107.8</v>
      </c>
      <c r="F24" s="382" t="n">
        <v>1.9</v>
      </c>
      <c r="G24" s="389" t="n">
        <f aca="false">ROUND(F24*100000*0.0001,2)</f>
        <v>19</v>
      </c>
      <c r="H24" s="384" t="n">
        <v>0.025</v>
      </c>
      <c r="I24" s="385" t="n">
        <v>0.032</v>
      </c>
    </row>
    <row r="25" customFormat="false" ht="19.5" hidden="false" customHeight="true" outlineLevel="0" collapsed="false">
      <c r="B25" s="378" t="s">
        <v>414</v>
      </c>
      <c r="C25" s="379" t="s">
        <v>415</v>
      </c>
      <c r="D25" s="380" t="s">
        <v>362</v>
      </c>
      <c r="E25" s="381" t="n">
        <v>119.6</v>
      </c>
      <c r="F25" s="382" t="n">
        <v>8.2</v>
      </c>
      <c r="G25" s="383" t="n">
        <f aca="false">ROUND(F25*100000*0.0001,2)</f>
        <v>82</v>
      </c>
      <c r="H25" s="384" t="n">
        <v>0.03</v>
      </c>
      <c r="I25" s="385" t="n">
        <v>0.0345</v>
      </c>
    </row>
    <row r="26" customFormat="false" ht="19.5" hidden="false" customHeight="true" outlineLevel="0" collapsed="false">
      <c r="B26" s="386" t="s">
        <v>416</v>
      </c>
      <c r="C26" s="387" t="s">
        <v>417</v>
      </c>
      <c r="D26" s="388" t="s">
        <v>362</v>
      </c>
      <c r="E26" s="381" t="n">
        <v>130.2</v>
      </c>
      <c r="F26" s="382" t="n">
        <v>8.6</v>
      </c>
      <c r="G26" s="389" t="n">
        <f aca="false">ROUND(F26*100000*0.0001,2)</f>
        <v>86</v>
      </c>
      <c r="H26" s="384" t="n">
        <v>0.015</v>
      </c>
      <c r="I26" s="385" t="n">
        <v>0.0275</v>
      </c>
    </row>
    <row r="28" customFormat="false" ht="7.5" hidden="false" customHeight="true" outlineLevel="0" collapsed="false"/>
    <row r="29" customFormat="false" ht="27.75" hidden="false" customHeight="true" outlineLevel="0" collapsed="false">
      <c r="A29" s="353" t="s">
        <v>418</v>
      </c>
      <c r="B29" s="353"/>
      <c r="C29" s="353"/>
      <c r="D29" s="353"/>
      <c r="E29" s="353"/>
      <c r="F29" s="353"/>
      <c r="G29" s="353"/>
      <c r="H29" s="353"/>
      <c r="I29" s="353"/>
      <c r="J29" s="353"/>
      <c r="K29" s="353"/>
      <c r="L29" s="353"/>
      <c r="M29" s="353"/>
      <c r="N29" s="353"/>
      <c r="O29" s="353"/>
      <c r="P29" s="353"/>
      <c r="Q29" s="353"/>
      <c r="R29" s="353"/>
      <c r="S29" s="353"/>
    </row>
    <row r="30" customFormat="false" ht="27.75" hidden="false" customHeight="true" outlineLevel="0" collapsed="false">
      <c r="A30" s="69" t="s">
        <v>56</v>
      </c>
      <c r="B30" s="69" t="s">
        <v>36</v>
      </c>
      <c r="C30" s="69" t="s">
        <v>347</v>
      </c>
      <c r="D30" s="69" t="s">
        <v>38</v>
      </c>
      <c r="E30" s="69" t="s">
        <v>419</v>
      </c>
      <c r="F30" s="69" t="s">
        <v>420</v>
      </c>
      <c r="G30" s="69" t="s">
        <v>421</v>
      </c>
      <c r="H30" s="69" t="s">
        <v>422</v>
      </c>
      <c r="I30" s="69" t="s">
        <v>423</v>
      </c>
      <c r="J30" s="69" t="s">
        <v>403</v>
      </c>
      <c r="K30" s="69" t="s">
        <v>424</v>
      </c>
      <c r="L30" s="69" t="s">
        <v>425</v>
      </c>
      <c r="M30" s="69" t="s">
        <v>426</v>
      </c>
      <c r="N30" s="69" t="s">
        <v>115</v>
      </c>
      <c r="O30" s="69" t="s">
        <v>427</v>
      </c>
      <c r="P30" s="69" t="s">
        <v>428</v>
      </c>
      <c r="Q30" s="69" t="s">
        <v>116</v>
      </c>
    </row>
    <row r="31" customFormat="false" ht="18.75" hidden="false" customHeight="true" outlineLevel="0" collapsed="false">
      <c r="A31" s="390" t="n">
        <v>1</v>
      </c>
      <c r="B31" s="391" t="s">
        <v>429</v>
      </c>
      <c r="C31" s="391" t="s">
        <v>376</v>
      </c>
      <c r="D31" s="391" t="s">
        <v>430</v>
      </c>
      <c r="E31" s="391" t="s">
        <v>431</v>
      </c>
      <c r="F31" s="391" t="n">
        <v>10</v>
      </c>
      <c r="G31" s="391" t="n">
        <v>97.15</v>
      </c>
      <c r="H31" s="391" t="n">
        <v>97.15</v>
      </c>
      <c r="I31" s="392" t="n">
        <f aca="false">IF(G31="","",IFERROR((H31-G31)/G31*100,0))</f>
        <v>0</v>
      </c>
      <c r="J31" s="393" t="n">
        <f aca="false">IF(C31="","",IFERROR(IF(D31="ER3M",25,INDEX(FUTURES!$G$21:$G$26,MATCH(C31,FUTURES!$B$21:$B$26,0))),25))</f>
        <v>25</v>
      </c>
      <c r="K31" s="394" t="n">
        <f aca="false">IF(J31="","",IF(E31="LONG",1,-1)*F31*J31)</f>
        <v>250</v>
      </c>
      <c r="L31" s="395" t="n">
        <f aca="false">IF(D31="BOND",IFERROR(F31*J31*0.5,0),0)</f>
        <v>0</v>
      </c>
      <c r="M31" s="396" t="n">
        <f aca="false">IF(C31="","",IF(D31="ER3M",IF(E31="LONG",1,-1)*F31*(100-H31)/100/360*1000000/100,IF(E31="LONG",1,-1)*F31*0.02/365*100000))</f>
        <v>7.91666666666665</v>
      </c>
      <c r="N31" s="397" t="n">
        <f aca="false">IF(J31="","",IF(E31="LONG",1,-1)*F31*J31*I31/100*100)</f>
        <v>0</v>
      </c>
      <c r="O31" s="398" t="n">
        <f aca="false">IF(G31="","",IF(E31="LONG",1,-1)*F31*(H31-G31)*IF(D31="ER3M",2500,1000))</f>
        <v>0</v>
      </c>
      <c r="P31" s="399"/>
      <c r="Q31" s="400"/>
    </row>
    <row r="32" customFormat="false" ht="18.75" hidden="false" customHeight="true" outlineLevel="0" collapsed="false">
      <c r="A32" s="390" t="n">
        <v>2</v>
      </c>
      <c r="B32" s="391" t="s">
        <v>432</v>
      </c>
      <c r="C32" s="391" t="s">
        <v>408</v>
      </c>
      <c r="D32" s="391" t="s">
        <v>433</v>
      </c>
      <c r="E32" s="391" t="s">
        <v>434</v>
      </c>
      <c r="F32" s="391" t="n">
        <v>5</v>
      </c>
      <c r="G32" s="391" t="n">
        <v>134.2</v>
      </c>
      <c r="H32" s="391" t="n">
        <v>134.2</v>
      </c>
      <c r="I32" s="401" t="n">
        <f aca="false">IF(G32="","",IFERROR((H32-G32)/G32*100,0))</f>
        <v>0</v>
      </c>
      <c r="J32" s="389" t="n">
        <f aca="false">IF(C32="","",IFERROR(IF(D32="ER3M",25,INDEX(FUTURES!$G$21:$G$26,MATCH(C32,FUTURES!$B$21:$B$26,0))),25))</f>
        <v>88</v>
      </c>
      <c r="K32" s="394" t="n">
        <f aca="false">IF(J32="","",IF(E32="LONG",1,-1)*F32*J32)</f>
        <v>-440</v>
      </c>
      <c r="L32" s="375" t="n">
        <f aca="false">IF(D32="BOND",IFERROR(F32*J32*0.5,0),0)</f>
        <v>220</v>
      </c>
      <c r="M32" s="402" t="n">
        <f aca="false">IF(C32="","",IF(D32="ER3M",IF(E32="LONG",1,-1)*F32*(100-H32)/100/360*1000000/100,IF(E32="LONG",1,-1)*F32*0.02/365*100000))</f>
        <v>-27.3972602739726</v>
      </c>
      <c r="N32" s="397" t="n">
        <f aca="false">IF(J32="","",IF(E32="LONG",1,-1)*F32*J32*I32/100*100)</f>
        <v>-0</v>
      </c>
      <c r="O32" s="398" t="n">
        <f aca="false">IF(G32="","",IF(E32="LONG",1,-1)*F32*(H32-G32)*IF(D32="ER3M",2500,1000))</f>
        <v>-0</v>
      </c>
      <c r="P32" s="387"/>
      <c r="Q32" s="403"/>
    </row>
    <row r="33" customFormat="false" ht="18.75" hidden="false" customHeight="true" outlineLevel="0" collapsed="false">
      <c r="A33" s="390" t="n">
        <v>3</v>
      </c>
      <c r="B33" s="391" t="s">
        <v>435</v>
      </c>
      <c r="C33" s="391" t="s">
        <v>381</v>
      </c>
      <c r="D33" s="391" t="s">
        <v>430</v>
      </c>
      <c r="E33" s="391" t="s">
        <v>431</v>
      </c>
      <c r="F33" s="391" t="n">
        <v>20</v>
      </c>
      <c r="G33" s="391" t="n">
        <v>97.28</v>
      </c>
      <c r="H33" s="391" t="n">
        <v>97.28</v>
      </c>
      <c r="I33" s="392" t="n">
        <f aca="false">IF(G33="","",IFERROR((H33-G33)/G33*100,0))</f>
        <v>0</v>
      </c>
      <c r="J33" s="393" t="n">
        <f aca="false">IF(C33="","",IFERROR(IF(D33="ER3M",25,INDEX(FUTURES!$G$21:$G$26,MATCH(C33,FUTURES!$B$21:$B$26,0))),25))</f>
        <v>25</v>
      </c>
      <c r="K33" s="394" t="n">
        <f aca="false">IF(J33="","",IF(E33="LONG",1,-1)*F33*J33)</f>
        <v>500</v>
      </c>
      <c r="L33" s="395" t="n">
        <f aca="false">IF(D33="BOND",IFERROR(F33*J33*0.5,0),0)</f>
        <v>0</v>
      </c>
      <c r="M33" s="396" t="n">
        <f aca="false">IF(C33="","",IF(D33="ER3M",IF(E33="LONG",1,-1)*F33*(100-H33)/100/360*1000000/100,IF(E33="LONG",1,-1)*F33*0.02/365*100000))</f>
        <v>15.1111111111111</v>
      </c>
      <c r="N33" s="397" t="n">
        <f aca="false">IF(J33="","",IF(E33="LONG",1,-1)*F33*J33*I33/100*100)</f>
        <v>0</v>
      </c>
      <c r="O33" s="398" t="n">
        <f aca="false">IF(G33="","",IF(E33="LONG",1,-1)*F33*(H33-G33)*IF(D33="ER3M",2500,1000))</f>
        <v>0</v>
      </c>
      <c r="P33" s="399"/>
      <c r="Q33" s="400"/>
    </row>
    <row r="34" customFormat="false" ht="18.75" hidden="false" customHeight="true" outlineLevel="0" collapsed="false">
      <c r="A34" s="390" t="n">
        <v>4</v>
      </c>
      <c r="B34" s="391"/>
      <c r="C34" s="391"/>
      <c r="D34" s="391"/>
      <c r="E34" s="391"/>
      <c r="F34" s="391"/>
      <c r="G34" s="391"/>
      <c r="H34" s="391"/>
      <c r="I34" s="401" t="str">
        <f aca="false">IF(G34="","",IFERROR((H34-G34)/G34*100,0))</f>
        <v/>
      </c>
      <c r="J34" s="389" t="str">
        <f aca="false">IF(C34="","",IFERROR(IF(D34="ER3M",25,INDEX(FUTURES!$G$21:$G$26,MATCH(C34,FUTURES!$B$21:$B$26,0))),25))</f>
        <v/>
      </c>
      <c r="K34" s="394" t="str">
        <f aca="false">IF(J34="","",IF(E34="LONG",1,-1)*F34*J34)</f>
        <v/>
      </c>
      <c r="L34" s="375" t="n">
        <f aca="false">IF(D34="BOND",IFERROR(F34*J34*0.5,0),0)</f>
        <v>0</v>
      </c>
      <c r="M34" s="402" t="str">
        <f aca="false">IF(C34="","",IF(D34="ER3M",IF(E34="LONG",1,-1)*F34*(100-H34)/100/360*1000000/100,IF(E34="LONG",1,-1)*F34*0.02/365*100000))</f>
        <v/>
      </c>
      <c r="N34" s="397" t="str">
        <f aca="false">IF(J34="","",IF(E34="LONG",1,-1)*F34*J34*I34/100*100)</f>
        <v/>
      </c>
      <c r="O34" s="398" t="str">
        <f aca="false">IF(G34="","",IF(E34="LONG",1,-1)*F34*(H34-G34)*IF(D34="ER3M",2500,1000))</f>
        <v/>
      </c>
      <c r="P34" s="387"/>
      <c r="Q34" s="403"/>
    </row>
    <row r="35" customFormat="false" ht="18.75" hidden="false" customHeight="true" outlineLevel="0" collapsed="false">
      <c r="A35" s="390" t="n">
        <v>5</v>
      </c>
      <c r="B35" s="391"/>
      <c r="C35" s="391"/>
      <c r="D35" s="391"/>
      <c r="E35" s="391"/>
      <c r="F35" s="391"/>
      <c r="G35" s="391"/>
      <c r="H35" s="391"/>
      <c r="I35" s="392" t="str">
        <f aca="false">IF(G35="","",IFERROR((H35-G35)/G35*100,0))</f>
        <v/>
      </c>
      <c r="J35" s="393" t="str">
        <f aca="false">IF(C35="","",IFERROR(IF(D35="ER3M",25,INDEX(FUTURES!$G$21:$G$26,MATCH(C35,FUTURES!$B$21:$B$26,0))),25))</f>
        <v/>
      </c>
      <c r="K35" s="394" t="str">
        <f aca="false">IF(J35="","",IF(E35="LONG",1,-1)*F35*J35)</f>
        <v/>
      </c>
      <c r="L35" s="395" t="n">
        <f aca="false">IF(D35="BOND",IFERROR(F35*J35*0.5,0),0)</f>
        <v>0</v>
      </c>
      <c r="M35" s="396" t="str">
        <f aca="false">IF(C35="","",IF(D35="ER3M",IF(E35="LONG",1,-1)*F35*(100-H35)/100/360*1000000/100,IF(E35="LONG",1,-1)*F35*0.02/365*100000))</f>
        <v/>
      </c>
      <c r="N35" s="397" t="str">
        <f aca="false">IF(J35="","",IF(E35="LONG",1,-1)*F35*J35*I35/100*100)</f>
        <v/>
      </c>
      <c r="O35" s="398" t="str">
        <f aca="false">IF(G35="","",IF(E35="LONG",1,-1)*F35*(H35-G35)*IF(D35="ER3M",2500,1000))</f>
        <v/>
      </c>
      <c r="P35" s="399"/>
      <c r="Q35" s="400"/>
    </row>
    <row r="36" customFormat="false" ht="18.75" hidden="false" customHeight="true" outlineLevel="0" collapsed="false">
      <c r="A36" s="390" t="n">
        <v>6</v>
      </c>
      <c r="B36" s="391"/>
      <c r="C36" s="391"/>
      <c r="D36" s="391"/>
      <c r="E36" s="391"/>
      <c r="F36" s="391"/>
      <c r="G36" s="391"/>
      <c r="H36" s="391"/>
      <c r="I36" s="401" t="str">
        <f aca="false">IF(G36="","",IFERROR((H36-G36)/G36*100,0))</f>
        <v/>
      </c>
      <c r="J36" s="389" t="str">
        <f aca="false">IF(C36="","",IFERROR(IF(D36="ER3M",25,INDEX(FUTURES!$G$21:$G$26,MATCH(C36,FUTURES!$B$21:$B$26,0))),25))</f>
        <v/>
      </c>
      <c r="K36" s="394" t="str">
        <f aca="false">IF(J36="","",IF(E36="LONG",1,-1)*F36*J36)</f>
        <v/>
      </c>
      <c r="L36" s="375" t="n">
        <f aca="false">IF(D36="BOND",IFERROR(F36*J36*0.5,0),0)</f>
        <v>0</v>
      </c>
      <c r="M36" s="402" t="str">
        <f aca="false">IF(C36="","",IF(D36="ER3M",IF(E36="LONG",1,-1)*F36*(100-H36)/100/360*1000000/100,IF(E36="LONG",1,-1)*F36*0.02/365*100000))</f>
        <v/>
      </c>
      <c r="N36" s="397" t="str">
        <f aca="false">IF(J36="","",IF(E36="LONG",1,-1)*F36*J36*I36/100*100)</f>
        <v/>
      </c>
      <c r="O36" s="398" t="str">
        <f aca="false">IF(G36="","",IF(E36="LONG",1,-1)*F36*(H36-G36)*IF(D36="ER3M",2500,1000))</f>
        <v/>
      </c>
      <c r="P36" s="387"/>
      <c r="Q36" s="403"/>
    </row>
    <row r="37" customFormat="false" ht="18.75" hidden="false" customHeight="true" outlineLevel="0" collapsed="false">
      <c r="A37" s="390" t="n">
        <v>7</v>
      </c>
      <c r="B37" s="391"/>
      <c r="C37" s="391"/>
      <c r="D37" s="391"/>
      <c r="E37" s="391"/>
      <c r="F37" s="391"/>
      <c r="G37" s="391"/>
      <c r="H37" s="391"/>
      <c r="I37" s="392" t="str">
        <f aca="false">IF(G37="","",IFERROR((H37-G37)/G37*100,0))</f>
        <v/>
      </c>
      <c r="J37" s="393" t="str">
        <f aca="false">IF(C37="","",IFERROR(IF(D37="ER3M",25,INDEX(FUTURES!$G$21:$G$26,MATCH(C37,FUTURES!$B$21:$B$26,0))),25))</f>
        <v/>
      </c>
      <c r="K37" s="394" t="str">
        <f aca="false">IF(J37="","",IF(E37="LONG",1,-1)*F37*J37)</f>
        <v/>
      </c>
      <c r="L37" s="395" t="n">
        <f aca="false">IF(D37="BOND",IFERROR(F37*J37*0.5,0),0)</f>
        <v>0</v>
      </c>
      <c r="M37" s="396" t="str">
        <f aca="false">IF(C37="","",IF(D37="ER3M",IF(E37="LONG",1,-1)*F37*(100-H37)/100/360*1000000/100,IF(E37="LONG",1,-1)*F37*0.02/365*100000))</f>
        <v/>
      </c>
      <c r="N37" s="397" t="str">
        <f aca="false">IF(J37="","",IF(E37="LONG",1,-1)*F37*J37*I37/100*100)</f>
        <v/>
      </c>
      <c r="O37" s="398" t="str">
        <f aca="false">IF(G37="","",IF(E37="LONG",1,-1)*F37*(H37-G37)*IF(D37="ER3M",2500,1000))</f>
        <v/>
      </c>
      <c r="P37" s="399"/>
      <c r="Q37" s="400"/>
    </row>
    <row r="38" customFormat="false" ht="18.75" hidden="false" customHeight="true" outlineLevel="0" collapsed="false">
      <c r="A38" s="390" t="n">
        <v>8</v>
      </c>
      <c r="B38" s="391"/>
      <c r="C38" s="391"/>
      <c r="D38" s="391"/>
      <c r="E38" s="391"/>
      <c r="F38" s="391"/>
      <c r="G38" s="391"/>
      <c r="H38" s="391"/>
      <c r="I38" s="401" t="str">
        <f aca="false">IF(G38="","",IFERROR((H38-G38)/G38*100,0))</f>
        <v/>
      </c>
      <c r="J38" s="389" t="str">
        <f aca="false">IF(C38="","",IFERROR(IF(D38="ER3M",25,INDEX(FUTURES!$G$21:$G$26,MATCH(C38,FUTURES!$B$21:$B$26,0))),25))</f>
        <v/>
      </c>
      <c r="K38" s="394" t="str">
        <f aca="false">IF(J38="","",IF(E38="LONG",1,-1)*F38*J38)</f>
        <v/>
      </c>
      <c r="L38" s="375" t="n">
        <f aca="false">IF(D38="BOND",IFERROR(F38*J38*0.5,0),0)</f>
        <v>0</v>
      </c>
      <c r="M38" s="402" t="str">
        <f aca="false">IF(C38="","",IF(D38="ER3M",IF(E38="LONG",1,-1)*F38*(100-H38)/100/360*1000000/100,IF(E38="LONG",1,-1)*F38*0.02/365*100000))</f>
        <v/>
      </c>
      <c r="N38" s="397" t="str">
        <f aca="false">IF(J38="","",IF(E38="LONG",1,-1)*F38*J38*I38/100*100)</f>
        <v/>
      </c>
      <c r="O38" s="398" t="str">
        <f aca="false">IF(G38="","",IF(E38="LONG",1,-1)*F38*(H38-G38)*IF(D38="ER3M",2500,1000))</f>
        <v/>
      </c>
      <c r="P38" s="387"/>
      <c r="Q38" s="403"/>
    </row>
    <row r="39" customFormat="false" ht="18.75" hidden="false" customHeight="true" outlineLevel="0" collapsed="false">
      <c r="A39" s="390" t="n">
        <v>9</v>
      </c>
      <c r="B39" s="391"/>
      <c r="C39" s="391"/>
      <c r="D39" s="391"/>
      <c r="E39" s="391"/>
      <c r="F39" s="391"/>
      <c r="G39" s="391"/>
      <c r="H39" s="391"/>
      <c r="I39" s="392" t="str">
        <f aca="false">IF(G39="","",IFERROR((H39-G39)/G39*100,0))</f>
        <v/>
      </c>
      <c r="J39" s="393" t="str">
        <f aca="false">IF(C39="","",IFERROR(IF(D39="ER3M",25,INDEX(FUTURES!$G$21:$G$26,MATCH(C39,FUTURES!$B$21:$B$26,0))),25))</f>
        <v/>
      </c>
      <c r="K39" s="394" t="str">
        <f aca="false">IF(J39="","",IF(E39="LONG",1,-1)*F39*J39)</f>
        <v/>
      </c>
      <c r="L39" s="395" t="n">
        <f aca="false">IF(D39="BOND",IFERROR(F39*J39*0.5,0),0)</f>
        <v>0</v>
      </c>
      <c r="M39" s="396" t="str">
        <f aca="false">IF(C39="","",IF(D39="ER3M",IF(E39="LONG",1,-1)*F39*(100-H39)/100/360*1000000/100,IF(E39="LONG",1,-1)*F39*0.02/365*100000))</f>
        <v/>
      </c>
      <c r="N39" s="397" t="str">
        <f aca="false">IF(J39="","",IF(E39="LONG",1,-1)*F39*J39*I39/100*100)</f>
        <v/>
      </c>
      <c r="O39" s="398" t="str">
        <f aca="false">IF(G39="","",IF(E39="LONG",1,-1)*F39*(H39-G39)*IF(D39="ER3M",2500,1000))</f>
        <v/>
      </c>
      <c r="P39" s="399"/>
      <c r="Q39" s="400"/>
    </row>
    <row r="40" customFormat="false" ht="18.75" hidden="false" customHeight="true" outlineLevel="0" collapsed="false">
      <c r="A40" s="390" t="n">
        <v>10</v>
      </c>
      <c r="B40" s="391"/>
      <c r="C40" s="391"/>
      <c r="D40" s="391"/>
      <c r="E40" s="391"/>
      <c r="F40" s="391"/>
      <c r="G40" s="391"/>
      <c r="H40" s="391"/>
      <c r="I40" s="401" t="str">
        <f aca="false">IF(G40="","",IFERROR((H40-G40)/G40*100,0))</f>
        <v/>
      </c>
      <c r="J40" s="389" t="str">
        <f aca="false">IF(C40="","",IFERROR(IF(D40="ER3M",25,INDEX(FUTURES!$G$21:$G$26,MATCH(C40,FUTURES!$B$21:$B$26,0))),25))</f>
        <v/>
      </c>
      <c r="K40" s="394" t="str">
        <f aca="false">IF(J40="","",IF(E40="LONG",1,-1)*F40*J40)</f>
        <v/>
      </c>
      <c r="L40" s="375" t="n">
        <f aca="false">IF(D40="BOND",IFERROR(F40*J40*0.5,0),0)</f>
        <v>0</v>
      </c>
      <c r="M40" s="402" t="str">
        <f aca="false">IF(C40="","",IF(D40="ER3M",IF(E40="LONG",1,-1)*F40*(100-H40)/100/360*1000000/100,IF(E40="LONG",1,-1)*F40*0.02/365*100000))</f>
        <v/>
      </c>
      <c r="N40" s="397" t="str">
        <f aca="false">IF(J40="","",IF(E40="LONG",1,-1)*F40*J40*I40/100*100)</f>
        <v/>
      </c>
      <c r="O40" s="398" t="str">
        <f aca="false">IF(G40="","",IF(E40="LONG",1,-1)*F40*(H40-G40)*IF(D40="ER3M",2500,1000))</f>
        <v/>
      </c>
      <c r="P40" s="387"/>
      <c r="Q40" s="403"/>
    </row>
    <row r="41" customFormat="false" ht="18.75" hidden="false" customHeight="true" outlineLevel="0" collapsed="false">
      <c r="A41" s="390" t="n">
        <v>11</v>
      </c>
      <c r="B41" s="391"/>
      <c r="C41" s="391"/>
      <c r="D41" s="391"/>
      <c r="E41" s="391"/>
      <c r="F41" s="391"/>
      <c r="G41" s="391"/>
      <c r="H41" s="391"/>
      <c r="I41" s="392" t="str">
        <f aca="false">IF(G41="","",IFERROR((H41-G41)/G41*100,0))</f>
        <v/>
      </c>
      <c r="J41" s="393" t="str">
        <f aca="false">IF(C41="","",IFERROR(IF(D41="ER3M",25,INDEX(FUTURES!$G$21:$G$26,MATCH(C41,FUTURES!$B$21:$B$26,0))),25))</f>
        <v/>
      </c>
      <c r="K41" s="394" t="str">
        <f aca="false">IF(J41="","",IF(E41="LONG",1,-1)*F41*J41)</f>
        <v/>
      </c>
      <c r="L41" s="395" t="n">
        <f aca="false">IF(D41="BOND",IFERROR(F41*J41*0.5,0),0)</f>
        <v>0</v>
      </c>
      <c r="M41" s="396" t="str">
        <f aca="false">IF(C41="","",IF(D41="ER3M",IF(E41="LONG",1,-1)*F41*(100-H41)/100/360*1000000/100,IF(E41="LONG",1,-1)*F41*0.02/365*100000))</f>
        <v/>
      </c>
      <c r="N41" s="397" t="str">
        <f aca="false">IF(J41="","",IF(E41="LONG",1,-1)*F41*J41*I41/100*100)</f>
        <v/>
      </c>
      <c r="O41" s="398" t="str">
        <f aca="false">IF(G41="","",IF(E41="LONG",1,-1)*F41*(H41-G41)*IF(D41="ER3M",2500,1000))</f>
        <v/>
      </c>
      <c r="P41" s="399"/>
      <c r="Q41" s="400"/>
    </row>
    <row r="42" customFormat="false" ht="18.75" hidden="false" customHeight="true" outlineLevel="0" collapsed="false">
      <c r="A42" s="390" t="n">
        <v>12</v>
      </c>
      <c r="B42" s="391"/>
      <c r="C42" s="391"/>
      <c r="D42" s="391"/>
      <c r="E42" s="391"/>
      <c r="F42" s="391"/>
      <c r="G42" s="391"/>
      <c r="H42" s="391"/>
      <c r="I42" s="401" t="str">
        <f aca="false">IF(G42="","",IFERROR((H42-G42)/G42*100,0))</f>
        <v/>
      </c>
      <c r="J42" s="389" t="str">
        <f aca="false">IF(C42="","",IFERROR(IF(D42="ER3M",25,INDEX(FUTURES!$G$21:$G$26,MATCH(C42,FUTURES!$B$21:$B$26,0))),25))</f>
        <v/>
      </c>
      <c r="K42" s="394" t="str">
        <f aca="false">IF(J42="","",IF(E42="LONG",1,-1)*F42*J42)</f>
        <v/>
      </c>
      <c r="L42" s="375" t="n">
        <f aca="false">IF(D42="BOND",IFERROR(F42*J42*0.5,0),0)</f>
        <v>0</v>
      </c>
      <c r="M42" s="402" t="str">
        <f aca="false">IF(C42="","",IF(D42="ER3M",IF(E42="LONG",1,-1)*F42*(100-H42)/100/360*1000000/100,IF(E42="LONG",1,-1)*F42*0.02/365*100000))</f>
        <v/>
      </c>
      <c r="N42" s="397" t="str">
        <f aca="false">IF(J42="","",IF(E42="LONG",1,-1)*F42*J42*I42/100*100)</f>
        <v/>
      </c>
      <c r="O42" s="398" t="str">
        <f aca="false">IF(G42="","",IF(E42="LONG",1,-1)*F42*(H42-G42)*IF(D42="ER3M",2500,1000))</f>
        <v/>
      </c>
      <c r="P42" s="387"/>
      <c r="Q42" s="403"/>
    </row>
    <row r="43" customFormat="false" ht="18.75" hidden="false" customHeight="true" outlineLevel="0" collapsed="false">
      <c r="A43" s="390" t="n">
        <v>13</v>
      </c>
      <c r="B43" s="391"/>
      <c r="C43" s="391"/>
      <c r="D43" s="391"/>
      <c r="E43" s="391"/>
      <c r="F43" s="391"/>
      <c r="G43" s="391"/>
      <c r="H43" s="391"/>
      <c r="I43" s="392" t="str">
        <f aca="false">IF(G43="","",IFERROR((H43-G43)/G43*100,0))</f>
        <v/>
      </c>
      <c r="J43" s="393" t="str">
        <f aca="false">IF(C43="","",IFERROR(IF(D43="ER3M",25,INDEX(FUTURES!$G$21:$G$26,MATCH(C43,FUTURES!$B$21:$B$26,0))),25))</f>
        <v/>
      </c>
      <c r="K43" s="394" t="str">
        <f aca="false">IF(J43="","",IF(E43="LONG",1,-1)*F43*J43)</f>
        <v/>
      </c>
      <c r="L43" s="395" t="n">
        <f aca="false">IF(D43="BOND",IFERROR(F43*J43*0.5,0),0)</f>
        <v>0</v>
      </c>
      <c r="M43" s="396" t="str">
        <f aca="false">IF(C43="","",IF(D43="ER3M",IF(E43="LONG",1,-1)*F43*(100-H43)/100/360*1000000/100,IF(E43="LONG",1,-1)*F43*0.02/365*100000))</f>
        <v/>
      </c>
      <c r="N43" s="397" t="str">
        <f aca="false">IF(J43="","",IF(E43="LONG",1,-1)*F43*J43*I43/100*100)</f>
        <v/>
      </c>
      <c r="O43" s="398" t="str">
        <f aca="false">IF(G43="","",IF(E43="LONG",1,-1)*F43*(H43-G43)*IF(D43="ER3M",2500,1000))</f>
        <v/>
      </c>
      <c r="P43" s="399"/>
      <c r="Q43" s="400"/>
    </row>
    <row r="44" customFormat="false" ht="18.75" hidden="false" customHeight="true" outlineLevel="0" collapsed="false">
      <c r="A44" s="390" t="n">
        <v>14</v>
      </c>
      <c r="B44" s="391"/>
      <c r="C44" s="391"/>
      <c r="D44" s="391"/>
      <c r="E44" s="391"/>
      <c r="F44" s="391"/>
      <c r="G44" s="391"/>
      <c r="H44" s="391"/>
      <c r="I44" s="401" t="str">
        <f aca="false">IF(G44="","",IFERROR((H44-G44)/G44*100,0))</f>
        <v/>
      </c>
      <c r="J44" s="389" t="str">
        <f aca="false">IF(C44="","",IFERROR(IF(D44="ER3M",25,INDEX(FUTURES!$G$21:$G$26,MATCH(C44,FUTURES!$B$21:$B$26,0))),25))</f>
        <v/>
      </c>
      <c r="K44" s="394" t="str">
        <f aca="false">IF(J44="","",IF(E44="LONG",1,-1)*F44*J44)</f>
        <v/>
      </c>
      <c r="L44" s="375" t="n">
        <f aca="false">IF(D44="BOND",IFERROR(F44*J44*0.5,0),0)</f>
        <v>0</v>
      </c>
      <c r="M44" s="402" t="str">
        <f aca="false">IF(C44="","",IF(D44="ER3M",IF(E44="LONG",1,-1)*F44*(100-H44)/100/360*1000000/100,IF(E44="LONG",1,-1)*F44*0.02/365*100000))</f>
        <v/>
      </c>
      <c r="N44" s="397" t="str">
        <f aca="false">IF(J44="","",IF(E44="LONG",1,-1)*F44*J44*I44/100*100)</f>
        <v/>
      </c>
      <c r="O44" s="398" t="str">
        <f aca="false">IF(G44="","",IF(E44="LONG",1,-1)*F44*(H44-G44)*IF(D44="ER3M",2500,1000))</f>
        <v/>
      </c>
      <c r="P44" s="387"/>
      <c r="Q44" s="403"/>
    </row>
    <row r="45" customFormat="false" ht="18.75" hidden="false" customHeight="true" outlineLevel="0" collapsed="false">
      <c r="A45" s="390" t="n">
        <v>15</v>
      </c>
      <c r="B45" s="391"/>
      <c r="C45" s="391"/>
      <c r="D45" s="391"/>
      <c r="E45" s="391"/>
      <c r="F45" s="391"/>
      <c r="G45" s="391"/>
      <c r="H45" s="391"/>
      <c r="I45" s="392" t="str">
        <f aca="false">IF(G45="","",IFERROR((H45-G45)/G45*100,0))</f>
        <v/>
      </c>
      <c r="J45" s="393" t="str">
        <f aca="false">IF(C45="","",IFERROR(IF(D45="ER3M",25,INDEX(FUTURES!$G$21:$G$26,MATCH(C45,FUTURES!$B$21:$B$26,0))),25))</f>
        <v/>
      </c>
      <c r="K45" s="394" t="str">
        <f aca="false">IF(J45="","",IF(E45="LONG",1,-1)*F45*J45)</f>
        <v/>
      </c>
      <c r="L45" s="395" t="n">
        <f aca="false">IF(D45="BOND",IFERROR(F45*J45*0.5,0),0)</f>
        <v>0</v>
      </c>
      <c r="M45" s="396" t="str">
        <f aca="false">IF(C45="","",IF(D45="ER3M",IF(E45="LONG",1,-1)*F45*(100-H45)/100/360*1000000/100,IF(E45="LONG",1,-1)*F45*0.02/365*100000))</f>
        <v/>
      </c>
      <c r="N45" s="397" t="str">
        <f aca="false">IF(J45="","",IF(E45="LONG",1,-1)*F45*J45*I45/100*100)</f>
        <v/>
      </c>
      <c r="O45" s="398" t="str">
        <f aca="false">IF(G45="","",IF(E45="LONG",1,-1)*F45*(H45-G45)*IF(D45="ER3M",2500,1000))</f>
        <v/>
      </c>
      <c r="P45" s="399"/>
      <c r="Q45" s="400"/>
    </row>
    <row r="46" customFormat="false" ht="18.75" hidden="false" customHeight="true" outlineLevel="0" collapsed="false">
      <c r="A46" s="390" t="n">
        <v>16</v>
      </c>
      <c r="B46" s="391"/>
      <c r="C46" s="391"/>
      <c r="D46" s="391"/>
      <c r="E46" s="391"/>
      <c r="F46" s="391"/>
      <c r="G46" s="391"/>
      <c r="H46" s="391"/>
      <c r="I46" s="401" t="str">
        <f aca="false">IF(G46="","",IFERROR((H46-G46)/G46*100,0))</f>
        <v/>
      </c>
      <c r="J46" s="389" t="str">
        <f aca="false">IF(C46="","",IFERROR(IF(D46="ER3M",25,INDEX(FUTURES!$G$21:$G$26,MATCH(C46,FUTURES!$B$21:$B$26,0))),25))</f>
        <v/>
      </c>
      <c r="K46" s="394" t="str">
        <f aca="false">IF(J46="","",IF(E46="LONG",1,-1)*F46*J46)</f>
        <v/>
      </c>
      <c r="L46" s="375" t="n">
        <f aca="false">IF(D46="BOND",IFERROR(F46*J46*0.5,0),0)</f>
        <v>0</v>
      </c>
      <c r="M46" s="402" t="str">
        <f aca="false">IF(C46="","",IF(D46="ER3M",IF(E46="LONG",1,-1)*F46*(100-H46)/100/360*1000000/100,IF(E46="LONG",1,-1)*F46*0.02/365*100000))</f>
        <v/>
      </c>
      <c r="N46" s="397" t="str">
        <f aca="false">IF(J46="","",IF(E46="LONG",1,-1)*F46*J46*I46/100*100)</f>
        <v/>
      </c>
      <c r="O46" s="398" t="str">
        <f aca="false">IF(G46="","",IF(E46="LONG",1,-1)*F46*(H46-G46)*IF(D46="ER3M",2500,1000))</f>
        <v/>
      </c>
      <c r="P46" s="387"/>
      <c r="Q46" s="403"/>
    </row>
    <row r="47" customFormat="false" ht="18.75" hidden="false" customHeight="true" outlineLevel="0" collapsed="false">
      <c r="A47" s="390" t="n">
        <v>17</v>
      </c>
      <c r="B47" s="391"/>
      <c r="C47" s="391"/>
      <c r="D47" s="391"/>
      <c r="E47" s="391"/>
      <c r="F47" s="391"/>
      <c r="G47" s="391"/>
      <c r="H47" s="391"/>
      <c r="I47" s="392" t="str">
        <f aca="false">IF(G47="","",IFERROR((H47-G47)/G47*100,0))</f>
        <v/>
      </c>
      <c r="J47" s="393" t="str">
        <f aca="false">IF(C47="","",IFERROR(IF(D47="ER3M",25,INDEX(FUTURES!$G$21:$G$26,MATCH(C47,FUTURES!$B$21:$B$26,0))),25))</f>
        <v/>
      </c>
      <c r="K47" s="394" t="str">
        <f aca="false">IF(J47="","",IF(E47="LONG",1,-1)*F47*J47)</f>
        <v/>
      </c>
      <c r="L47" s="395" t="n">
        <f aca="false">IF(D47="BOND",IFERROR(F47*J47*0.5,0),0)</f>
        <v>0</v>
      </c>
      <c r="M47" s="396" t="str">
        <f aca="false">IF(C47="","",IF(D47="ER3M",IF(E47="LONG",1,-1)*F47*(100-H47)/100/360*1000000/100,IF(E47="LONG",1,-1)*F47*0.02/365*100000))</f>
        <v/>
      </c>
      <c r="N47" s="397" t="str">
        <f aca="false">IF(J47="","",IF(E47="LONG",1,-1)*F47*J47*I47/100*100)</f>
        <v/>
      </c>
      <c r="O47" s="398" t="str">
        <f aca="false">IF(G47="","",IF(E47="LONG",1,-1)*F47*(H47-G47)*IF(D47="ER3M",2500,1000))</f>
        <v/>
      </c>
      <c r="P47" s="399"/>
      <c r="Q47" s="400"/>
    </row>
    <row r="48" customFormat="false" ht="18.75" hidden="false" customHeight="true" outlineLevel="0" collapsed="false">
      <c r="A48" s="390" t="n">
        <v>18</v>
      </c>
      <c r="B48" s="391"/>
      <c r="C48" s="391"/>
      <c r="D48" s="391"/>
      <c r="E48" s="391"/>
      <c r="F48" s="391"/>
      <c r="G48" s="391"/>
      <c r="H48" s="391"/>
      <c r="I48" s="401" t="str">
        <f aca="false">IF(G48="","",IFERROR((H48-G48)/G48*100,0))</f>
        <v/>
      </c>
      <c r="J48" s="389" t="str">
        <f aca="false">IF(C48="","",IFERROR(IF(D48="ER3M",25,INDEX(FUTURES!$G$21:$G$26,MATCH(C48,FUTURES!$B$21:$B$26,0))),25))</f>
        <v/>
      </c>
      <c r="K48" s="394" t="str">
        <f aca="false">IF(J48="","",IF(E48="LONG",1,-1)*F48*J48)</f>
        <v/>
      </c>
      <c r="L48" s="375" t="n">
        <f aca="false">IF(D48="BOND",IFERROR(F48*J48*0.5,0),0)</f>
        <v>0</v>
      </c>
      <c r="M48" s="402" t="str">
        <f aca="false">IF(C48="","",IF(D48="ER3M",IF(E48="LONG",1,-1)*F48*(100-H48)/100/360*1000000/100,IF(E48="LONG",1,-1)*F48*0.02/365*100000))</f>
        <v/>
      </c>
      <c r="N48" s="397" t="str">
        <f aca="false">IF(J48="","",IF(E48="LONG",1,-1)*F48*J48*I48/100*100)</f>
        <v/>
      </c>
      <c r="O48" s="398" t="str">
        <f aca="false">IF(G48="","",IF(E48="LONG",1,-1)*F48*(H48-G48)*IF(D48="ER3M",2500,1000))</f>
        <v/>
      </c>
      <c r="P48" s="387"/>
      <c r="Q48" s="403"/>
    </row>
    <row r="49" customFormat="false" ht="18.75" hidden="false" customHeight="true" outlineLevel="0" collapsed="false">
      <c r="A49" s="390" t="n">
        <v>19</v>
      </c>
      <c r="B49" s="391"/>
      <c r="C49" s="391"/>
      <c r="D49" s="391"/>
      <c r="E49" s="391"/>
      <c r="F49" s="391"/>
      <c r="G49" s="391"/>
      <c r="H49" s="391"/>
      <c r="I49" s="392" t="str">
        <f aca="false">IF(G49="","",IFERROR((H49-G49)/G49*100,0))</f>
        <v/>
      </c>
      <c r="J49" s="393" t="str">
        <f aca="false">IF(C49="","",IFERROR(IF(D49="ER3M",25,INDEX(FUTURES!$G$21:$G$26,MATCH(C49,FUTURES!$B$21:$B$26,0))),25))</f>
        <v/>
      </c>
      <c r="K49" s="394" t="str">
        <f aca="false">IF(J49="","",IF(E49="LONG",1,-1)*F49*J49)</f>
        <v/>
      </c>
      <c r="L49" s="395" t="n">
        <f aca="false">IF(D49="BOND",IFERROR(F49*J49*0.5,0),0)</f>
        <v>0</v>
      </c>
      <c r="M49" s="396" t="str">
        <f aca="false">IF(C49="","",IF(D49="ER3M",IF(E49="LONG",1,-1)*F49*(100-H49)/100/360*1000000/100,IF(E49="LONG",1,-1)*F49*0.02/365*100000))</f>
        <v/>
      </c>
      <c r="N49" s="397" t="str">
        <f aca="false">IF(J49="","",IF(E49="LONG",1,-1)*F49*J49*I49/100*100)</f>
        <v/>
      </c>
      <c r="O49" s="398" t="str">
        <f aca="false">IF(G49="","",IF(E49="LONG",1,-1)*F49*(H49-G49)*IF(D49="ER3M",2500,1000))</f>
        <v/>
      </c>
      <c r="P49" s="399"/>
      <c r="Q49" s="400"/>
    </row>
    <row r="50" customFormat="false" ht="18.75" hidden="false" customHeight="true" outlineLevel="0" collapsed="false">
      <c r="A50" s="390" t="n">
        <v>20</v>
      </c>
      <c r="B50" s="391"/>
      <c r="C50" s="391"/>
      <c r="D50" s="391"/>
      <c r="E50" s="391"/>
      <c r="F50" s="391"/>
      <c r="G50" s="391"/>
      <c r="H50" s="391"/>
      <c r="I50" s="401" t="str">
        <f aca="false">IF(G50="","",IFERROR((H50-G50)/G50*100,0))</f>
        <v/>
      </c>
      <c r="J50" s="389" t="str">
        <f aca="false">IF(C50="","",IFERROR(IF(D50="ER3M",25,INDEX(FUTURES!$G$21:$G$26,MATCH(C50,FUTURES!$B$21:$B$26,0))),25))</f>
        <v/>
      </c>
      <c r="K50" s="394" t="str">
        <f aca="false">IF(J50="","",IF(E50="LONG",1,-1)*F50*J50)</f>
        <v/>
      </c>
      <c r="L50" s="375" t="n">
        <f aca="false">IF(D50="BOND",IFERROR(F50*J50*0.5,0),0)</f>
        <v>0</v>
      </c>
      <c r="M50" s="402" t="str">
        <f aca="false">IF(C50="","",IF(D50="ER3M",IF(E50="LONG",1,-1)*F50*(100-H50)/100/360*1000000/100,IF(E50="LONG",1,-1)*F50*0.02/365*100000))</f>
        <v/>
      </c>
      <c r="N50" s="397" t="str">
        <f aca="false">IF(J50="","",IF(E50="LONG",1,-1)*F50*J50*I50/100*100)</f>
        <v/>
      </c>
      <c r="O50" s="398" t="str">
        <f aca="false">IF(G50="","",IF(E50="LONG",1,-1)*F50*(H50-G50)*IF(D50="ER3M",2500,1000))</f>
        <v/>
      </c>
      <c r="P50" s="387"/>
      <c r="Q50" s="403"/>
    </row>
    <row r="51" customFormat="false" ht="18.75" hidden="false" customHeight="true" outlineLevel="0" collapsed="false">
      <c r="A51" s="390" t="n">
        <v>21</v>
      </c>
      <c r="B51" s="391"/>
      <c r="C51" s="391"/>
      <c r="D51" s="391"/>
      <c r="E51" s="391"/>
      <c r="F51" s="391"/>
      <c r="G51" s="391"/>
      <c r="H51" s="391"/>
      <c r="I51" s="392" t="str">
        <f aca="false">IF(G51="","",IFERROR((H51-G51)/G51*100,0))</f>
        <v/>
      </c>
      <c r="J51" s="393" t="str">
        <f aca="false">IF(C51="","",IFERROR(IF(D51="ER3M",25,INDEX(FUTURES!$G$21:$G$26,MATCH(C51,FUTURES!$B$21:$B$26,0))),25))</f>
        <v/>
      </c>
      <c r="K51" s="394" t="str">
        <f aca="false">IF(J51="","",IF(E51="LONG",1,-1)*F51*J51)</f>
        <v/>
      </c>
      <c r="L51" s="395" t="n">
        <f aca="false">IF(D51="BOND",IFERROR(F51*J51*0.5,0),0)</f>
        <v>0</v>
      </c>
      <c r="M51" s="396" t="str">
        <f aca="false">IF(C51="","",IF(D51="ER3M",IF(E51="LONG",1,-1)*F51*(100-H51)/100/360*1000000/100,IF(E51="LONG",1,-1)*F51*0.02/365*100000))</f>
        <v/>
      </c>
      <c r="N51" s="397" t="str">
        <f aca="false">IF(J51="","",IF(E51="LONG",1,-1)*F51*J51*I51/100*100)</f>
        <v/>
      </c>
      <c r="O51" s="398" t="str">
        <f aca="false">IF(G51="","",IF(E51="LONG",1,-1)*F51*(H51-G51)*IF(D51="ER3M",2500,1000))</f>
        <v/>
      </c>
      <c r="P51" s="399"/>
      <c r="Q51" s="400"/>
    </row>
    <row r="52" customFormat="false" ht="18.75" hidden="false" customHeight="true" outlineLevel="0" collapsed="false">
      <c r="A52" s="390" t="n">
        <v>22</v>
      </c>
      <c r="B52" s="391"/>
      <c r="C52" s="391"/>
      <c r="D52" s="391"/>
      <c r="E52" s="391"/>
      <c r="F52" s="391"/>
      <c r="G52" s="391"/>
      <c r="H52" s="391"/>
      <c r="I52" s="401" t="str">
        <f aca="false">IF(G52="","",IFERROR((H52-G52)/G52*100,0))</f>
        <v/>
      </c>
      <c r="J52" s="389" t="str">
        <f aca="false">IF(C52="","",IFERROR(IF(D52="ER3M",25,INDEX(FUTURES!$G$21:$G$26,MATCH(C52,FUTURES!$B$21:$B$26,0))),25))</f>
        <v/>
      </c>
      <c r="K52" s="394" t="str">
        <f aca="false">IF(J52="","",IF(E52="LONG",1,-1)*F52*J52)</f>
        <v/>
      </c>
      <c r="L52" s="375" t="n">
        <f aca="false">IF(D52="BOND",IFERROR(F52*J52*0.5,0),0)</f>
        <v>0</v>
      </c>
      <c r="M52" s="402" t="str">
        <f aca="false">IF(C52="","",IF(D52="ER3M",IF(E52="LONG",1,-1)*F52*(100-H52)/100/360*1000000/100,IF(E52="LONG",1,-1)*F52*0.02/365*100000))</f>
        <v/>
      </c>
      <c r="N52" s="397" t="str">
        <f aca="false">IF(J52="","",IF(E52="LONG",1,-1)*F52*J52*I52/100*100)</f>
        <v/>
      </c>
      <c r="O52" s="398" t="str">
        <f aca="false">IF(G52="","",IF(E52="LONG",1,-1)*F52*(H52-G52)*IF(D52="ER3M",2500,1000))</f>
        <v/>
      </c>
      <c r="P52" s="387"/>
      <c r="Q52" s="403"/>
    </row>
    <row r="53" customFormat="false" ht="18.75" hidden="false" customHeight="true" outlineLevel="0" collapsed="false">
      <c r="A53" s="390" t="n">
        <v>23</v>
      </c>
      <c r="B53" s="391"/>
      <c r="C53" s="391"/>
      <c r="D53" s="391"/>
      <c r="E53" s="391"/>
      <c r="F53" s="391"/>
      <c r="G53" s="391"/>
      <c r="H53" s="391"/>
      <c r="I53" s="392" t="str">
        <f aca="false">IF(G53="","",IFERROR((H53-G53)/G53*100,0))</f>
        <v/>
      </c>
      <c r="J53" s="393" t="str">
        <f aca="false">IF(C53="","",IFERROR(IF(D53="ER3M",25,INDEX(FUTURES!$G$21:$G$26,MATCH(C53,FUTURES!$B$21:$B$26,0))),25))</f>
        <v/>
      </c>
      <c r="K53" s="394" t="str">
        <f aca="false">IF(J53="","",IF(E53="LONG",1,-1)*F53*J53)</f>
        <v/>
      </c>
      <c r="L53" s="395" t="n">
        <f aca="false">IF(D53="BOND",IFERROR(F53*J53*0.5,0),0)</f>
        <v>0</v>
      </c>
      <c r="M53" s="396" t="str">
        <f aca="false">IF(C53="","",IF(D53="ER3M",IF(E53="LONG",1,-1)*F53*(100-H53)/100/360*1000000/100,IF(E53="LONG",1,-1)*F53*0.02/365*100000))</f>
        <v/>
      </c>
      <c r="N53" s="397" t="str">
        <f aca="false">IF(J53="","",IF(E53="LONG",1,-1)*F53*J53*I53/100*100)</f>
        <v/>
      </c>
      <c r="O53" s="398" t="str">
        <f aca="false">IF(G53="","",IF(E53="LONG",1,-1)*F53*(H53-G53)*IF(D53="ER3M",2500,1000))</f>
        <v/>
      </c>
      <c r="P53" s="399"/>
      <c r="Q53" s="400"/>
    </row>
    <row r="54" customFormat="false" ht="18.75" hidden="false" customHeight="true" outlineLevel="0" collapsed="false">
      <c r="A54" s="390" t="n">
        <v>24</v>
      </c>
      <c r="B54" s="391"/>
      <c r="C54" s="391"/>
      <c r="D54" s="391"/>
      <c r="E54" s="391"/>
      <c r="F54" s="391"/>
      <c r="G54" s="391"/>
      <c r="H54" s="391"/>
      <c r="I54" s="401" t="str">
        <f aca="false">IF(G54="","",IFERROR((H54-G54)/G54*100,0))</f>
        <v/>
      </c>
      <c r="J54" s="389" t="str">
        <f aca="false">IF(C54="","",IFERROR(IF(D54="ER3M",25,INDEX(FUTURES!$G$21:$G$26,MATCH(C54,FUTURES!$B$21:$B$26,0))),25))</f>
        <v/>
      </c>
      <c r="K54" s="394" t="str">
        <f aca="false">IF(J54="","",IF(E54="LONG",1,-1)*F54*J54)</f>
        <v/>
      </c>
      <c r="L54" s="375" t="n">
        <f aca="false">IF(D54="BOND",IFERROR(F54*J54*0.5,0),0)</f>
        <v>0</v>
      </c>
      <c r="M54" s="402" t="str">
        <f aca="false">IF(C54="","",IF(D54="ER3M",IF(E54="LONG",1,-1)*F54*(100-H54)/100/360*1000000/100,IF(E54="LONG",1,-1)*F54*0.02/365*100000))</f>
        <v/>
      </c>
      <c r="N54" s="397" t="str">
        <f aca="false">IF(J54="","",IF(E54="LONG",1,-1)*F54*J54*I54/100*100)</f>
        <v/>
      </c>
      <c r="O54" s="398" t="str">
        <f aca="false">IF(G54="","",IF(E54="LONG",1,-1)*F54*(H54-G54)*IF(D54="ER3M",2500,1000))</f>
        <v/>
      </c>
      <c r="P54" s="387"/>
      <c r="Q54" s="403"/>
    </row>
    <row r="55" customFormat="false" ht="18.75" hidden="false" customHeight="true" outlineLevel="0" collapsed="false">
      <c r="A55" s="390" t="n">
        <v>25</v>
      </c>
      <c r="B55" s="391"/>
      <c r="C55" s="391"/>
      <c r="D55" s="391"/>
      <c r="E55" s="391"/>
      <c r="F55" s="391"/>
      <c r="G55" s="391"/>
      <c r="H55" s="391"/>
      <c r="I55" s="392" t="str">
        <f aca="false">IF(G55="","",IFERROR((H55-G55)/G55*100,0))</f>
        <v/>
      </c>
      <c r="J55" s="393" t="str">
        <f aca="false">IF(C55="","",IFERROR(IF(D55="ER3M",25,INDEX(FUTURES!$G$21:$G$26,MATCH(C55,FUTURES!$B$21:$B$26,0))),25))</f>
        <v/>
      </c>
      <c r="K55" s="394" t="str">
        <f aca="false">IF(J55="","",IF(E55="LONG",1,-1)*F55*J55)</f>
        <v/>
      </c>
      <c r="L55" s="395" t="n">
        <f aca="false">IF(D55="BOND",IFERROR(F55*J55*0.5,0),0)</f>
        <v>0</v>
      </c>
      <c r="M55" s="396" t="str">
        <f aca="false">IF(C55="","",IF(D55="ER3M",IF(E55="LONG",1,-1)*F55*(100-H55)/100/360*1000000/100,IF(E55="LONG",1,-1)*F55*0.02/365*100000))</f>
        <v/>
      </c>
      <c r="N55" s="397" t="str">
        <f aca="false">IF(J55="","",IF(E55="LONG",1,-1)*F55*J55*I55/100*100)</f>
        <v/>
      </c>
      <c r="O55" s="398" t="str">
        <f aca="false">IF(G55="","",IF(E55="LONG",1,-1)*F55*(H55-G55)*IF(D55="ER3M",2500,1000))</f>
        <v/>
      </c>
      <c r="P55" s="399"/>
      <c r="Q55" s="400"/>
    </row>
    <row r="56" customFormat="false" ht="18.75" hidden="false" customHeight="true" outlineLevel="0" collapsed="false">
      <c r="A56" s="390" t="n">
        <v>26</v>
      </c>
      <c r="B56" s="391"/>
      <c r="C56" s="391"/>
      <c r="D56" s="391"/>
      <c r="E56" s="391"/>
      <c r="F56" s="391"/>
      <c r="G56" s="391"/>
      <c r="H56" s="391"/>
      <c r="I56" s="401" t="str">
        <f aca="false">IF(G56="","",IFERROR((H56-G56)/G56*100,0))</f>
        <v/>
      </c>
      <c r="J56" s="389" t="str">
        <f aca="false">IF(C56="","",IFERROR(IF(D56="ER3M",25,INDEX(FUTURES!$G$21:$G$26,MATCH(C56,FUTURES!$B$21:$B$26,0))),25))</f>
        <v/>
      </c>
      <c r="K56" s="394" t="str">
        <f aca="false">IF(J56="","",IF(E56="LONG",1,-1)*F56*J56)</f>
        <v/>
      </c>
      <c r="L56" s="375" t="n">
        <f aca="false">IF(D56="BOND",IFERROR(F56*J56*0.5,0),0)</f>
        <v>0</v>
      </c>
      <c r="M56" s="402" t="str">
        <f aca="false">IF(C56="","",IF(D56="ER3M",IF(E56="LONG",1,-1)*F56*(100-H56)/100/360*1000000/100,IF(E56="LONG",1,-1)*F56*0.02/365*100000))</f>
        <v/>
      </c>
      <c r="N56" s="397" t="str">
        <f aca="false">IF(J56="","",IF(E56="LONG",1,-1)*F56*J56*I56/100*100)</f>
        <v/>
      </c>
      <c r="O56" s="398" t="str">
        <f aca="false">IF(G56="","",IF(E56="LONG",1,-1)*F56*(H56-G56)*IF(D56="ER3M",2500,1000))</f>
        <v/>
      </c>
      <c r="P56" s="387"/>
      <c r="Q56" s="403"/>
    </row>
    <row r="57" customFormat="false" ht="18.75" hidden="false" customHeight="true" outlineLevel="0" collapsed="false">
      <c r="A57" s="390" t="n">
        <v>27</v>
      </c>
      <c r="B57" s="391"/>
      <c r="C57" s="391"/>
      <c r="D57" s="391"/>
      <c r="E57" s="391"/>
      <c r="F57" s="391"/>
      <c r="G57" s="391"/>
      <c r="H57" s="391"/>
      <c r="I57" s="392" t="str">
        <f aca="false">IF(G57="","",IFERROR((H57-G57)/G57*100,0))</f>
        <v/>
      </c>
      <c r="J57" s="393" t="str">
        <f aca="false">IF(C57="","",IFERROR(IF(D57="ER3M",25,INDEX(FUTURES!$G$21:$G$26,MATCH(C57,FUTURES!$B$21:$B$26,0))),25))</f>
        <v/>
      </c>
      <c r="K57" s="394" t="str">
        <f aca="false">IF(J57="","",IF(E57="LONG",1,-1)*F57*J57)</f>
        <v/>
      </c>
      <c r="L57" s="395" t="n">
        <f aca="false">IF(D57="BOND",IFERROR(F57*J57*0.5,0),0)</f>
        <v>0</v>
      </c>
      <c r="M57" s="396" t="str">
        <f aca="false">IF(C57="","",IF(D57="ER3M",IF(E57="LONG",1,-1)*F57*(100-H57)/100/360*1000000/100,IF(E57="LONG",1,-1)*F57*0.02/365*100000))</f>
        <v/>
      </c>
      <c r="N57" s="397" t="str">
        <f aca="false">IF(J57="","",IF(E57="LONG",1,-1)*F57*J57*I57/100*100)</f>
        <v/>
      </c>
      <c r="O57" s="398" t="str">
        <f aca="false">IF(G57="","",IF(E57="LONG",1,-1)*F57*(H57-G57)*IF(D57="ER3M",2500,1000))</f>
        <v/>
      </c>
      <c r="P57" s="399"/>
      <c r="Q57" s="400"/>
    </row>
    <row r="58" customFormat="false" ht="18.75" hidden="false" customHeight="true" outlineLevel="0" collapsed="false">
      <c r="A58" s="390" t="n">
        <v>28</v>
      </c>
      <c r="B58" s="391"/>
      <c r="C58" s="391"/>
      <c r="D58" s="391"/>
      <c r="E58" s="391"/>
      <c r="F58" s="391"/>
      <c r="G58" s="391"/>
      <c r="H58" s="391"/>
      <c r="I58" s="401" t="str">
        <f aca="false">IF(G58="","",IFERROR((H58-G58)/G58*100,0))</f>
        <v/>
      </c>
      <c r="J58" s="389" t="str">
        <f aca="false">IF(C58="","",IFERROR(IF(D58="ER3M",25,INDEX(FUTURES!$G$21:$G$26,MATCH(C58,FUTURES!$B$21:$B$26,0))),25))</f>
        <v/>
      </c>
      <c r="K58" s="394" t="str">
        <f aca="false">IF(J58="","",IF(E58="LONG",1,-1)*F58*J58)</f>
        <v/>
      </c>
      <c r="L58" s="375" t="n">
        <f aca="false">IF(D58="BOND",IFERROR(F58*J58*0.5,0),0)</f>
        <v>0</v>
      </c>
      <c r="M58" s="402" t="str">
        <f aca="false">IF(C58="","",IF(D58="ER3M",IF(E58="LONG",1,-1)*F58*(100-H58)/100/360*1000000/100,IF(E58="LONG",1,-1)*F58*0.02/365*100000))</f>
        <v/>
      </c>
      <c r="N58" s="397" t="str">
        <f aca="false">IF(J58="","",IF(E58="LONG",1,-1)*F58*J58*I58/100*100)</f>
        <v/>
      </c>
      <c r="O58" s="398" t="str">
        <f aca="false">IF(G58="","",IF(E58="LONG",1,-1)*F58*(H58-G58)*IF(D58="ER3M",2500,1000))</f>
        <v/>
      </c>
      <c r="P58" s="387"/>
      <c r="Q58" s="403"/>
    </row>
    <row r="59" customFormat="false" ht="18.75" hidden="false" customHeight="true" outlineLevel="0" collapsed="false">
      <c r="A59" s="390" t="n">
        <v>29</v>
      </c>
      <c r="B59" s="391"/>
      <c r="C59" s="391"/>
      <c r="D59" s="391"/>
      <c r="E59" s="391"/>
      <c r="F59" s="391"/>
      <c r="G59" s="391"/>
      <c r="H59" s="391"/>
      <c r="I59" s="392" t="str">
        <f aca="false">IF(G59="","",IFERROR((H59-G59)/G59*100,0))</f>
        <v/>
      </c>
      <c r="J59" s="393" t="str">
        <f aca="false">IF(C59="","",IFERROR(IF(D59="ER3M",25,INDEX(FUTURES!$G$21:$G$26,MATCH(C59,FUTURES!$B$21:$B$26,0))),25))</f>
        <v/>
      </c>
      <c r="K59" s="394" t="str">
        <f aca="false">IF(J59="","",IF(E59="LONG",1,-1)*F59*J59)</f>
        <v/>
      </c>
      <c r="L59" s="395" t="n">
        <f aca="false">IF(D59="BOND",IFERROR(F59*J59*0.5,0),0)</f>
        <v>0</v>
      </c>
      <c r="M59" s="396" t="str">
        <f aca="false">IF(C59="","",IF(D59="ER3M",IF(E59="LONG",1,-1)*F59*(100-H59)/100/360*1000000/100,IF(E59="LONG",1,-1)*F59*0.02/365*100000))</f>
        <v/>
      </c>
      <c r="N59" s="397" t="str">
        <f aca="false">IF(J59="","",IF(E59="LONG",1,-1)*F59*J59*I59/100*100)</f>
        <v/>
      </c>
      <c r="O59" s="398" t="str">
        <f aca="false">IF(G59="","",IF(E59="LONG",1,-1)*F59*(H59-G59)*IF(D59="ER3M",2500,1000))</f>
        <v/>
      </c>
      <c r="P59" s="399"/>
      <c r="Q59" s="400"/>
    </row>
    <row r="60" customFormat="false" ht="18.75" hidden="false" customHeight="true" outlineLevel="0" collapsed="false">
      <c r="A60" s="390" t="n">
        <v>30</v>
      </c>
      <c r="B60" s="391"/>
      <c r="C60" s="391"/>
      <c r="D60" s="391"/>
      <c r="E60" s="391"/>
      <c r="F60" s="391"/>
      <c r="G60" s="391"/>
      <c r="H60" s="391"/>
      <c r="I60" s="401" t="str">
        <f aca="false">IF(G60="","",IFERROR((H60-G60)/G60*100,0))</f>
        <v/>
      </c>
      <c r="J60" s="389" t="str">
        <f aca="false">IF(C60="","",IFERROR(IF(D60="ER3M",25,INDEX(FUTURES!$G$21:$G$26,MATCH(C60,FUTURES!$B$21:$B$26,0))),25))</f>
        <v/>
      </c>
      <c r="K60" s="394" t="str">
        <f aca="false">IF(J60="","",IF(E60="LONG",1,-1)*F60*J60)</f>
        <v/>
      </c>
      <c r="L60" s="375" t="n">
        <f aca="false">IF(D60="BOND",IFERROR(F60*J60*0.5,0),0)</f>
        <v>0</v>
      </c>
      <c r="M60" s="402" t="str">
        <f aca="false">IF(C60="","",IF(D60="ER3M",IF(E60="LONG",1,-1)*F60*(100-H60)/100/360*1000000/100,IF(E60="LONG",1,-1)*F60*0.02/365*100000))</f>
        <v/>
      </c>
      <c r="N60" s="397" t="str">
        <f aca="false">IF(J60="","",IF(E60="LONG",1,-1)*F60*J60*I60/100*100)</f>
        <v/>
      </c>
      <c r="O60" s="398" t="str">
        <f aca="false">IF(G60="","",IF(E60="LONG",1,-1)*F60*(H60-G60)*IF(D60="ER3M",2500,1000))</f>
        <v/>
      </c>
      <c r="P60" s="387"/>
      <c r="Q60" s="403"/>
    </row>
    <row r="61" customFormat="false" ht="18.75" hidden="false" customHeight="true" outlineLevel="0" collapsed="false">
      <c r="A61" s="390" t="n">
        <v>31</v>
      </c>
      <c r="B61" s="391"/>
      <c r="C61" s="391"/>
      <c r="D61" s="391"/>
      <c r="E61" s="391"/>
      <c r="F61" s="391"/>
      <c r="G61" s="391"/>
      <c r="H61" s="391"/>
      <c r="I61" s="392" t="str">
        <f aca="false">IF(G61="","",IFERROR((H61-G61)/G61*100,0))</f>
        <v/>
      </c>
      <c r="J61" s="393" t="str">
        <f aca="false">IF(C61="","",IFERROR(IF(D61="ER3M",25,INDEX(FUTURES!$G$21:$G$26,MATCH(C61,FUTURES!$B$21:$B$26,0))),25))</f>
        <v/>
      </c>
      <c r="K61" s="394" t="str">
        <f aca="false">IF(J61="","",IF(E61="LONG",1,-1)*F61*J61)</f>
        <v/>
      </c>
      <c r="L61" s="395" t="n">
        <f aca="false">IF(D61="BOND",IFERROR(F61*J61*0.5,0),0)</f>
        <v>0</v>
      </c>
      <c r="M61" s="396" t="str">
        <f aca="false">IF(C61="","",IF(D61="ER3M",IF(E61="LONG",1,-1)*F61*(100-H61)/100/360*1000000/100,IF(E61="LONG",1,-1)*F61*0.02/365*100000))</f>
        <v/>
      </c>
      <c r="N61" s="397" t="str">
        <f aca="false">IF(J61="","",IF(E61="LONG",1,-1)*F61*J61*I61/100*100)</f>
        <v/>
      </c>
      <c r="O61" s="398" t="str">
        <f aca="false">IF(G61="","",IF(E61="LONG",1,-1)*F61*(H61-G61)*IF(D61="ER3M",2500,1000))</f>
        <v/>
      </c>
      <c r="P61" s="399"/>
      <c r="Q61" s="400"/>
    </row>
    <row r="62" customFormat="false" ht="18.75" hidden="false" customHeight="true" outlineLevel="0" collapsed="false">
      <c r="A62" s="390" t="n">
        <v>32</v>
      </c>
      <c r="B62" s="391"/>
      <c r="C62" s="391"/>
      <c r="D62" s="391"/>
      <c r="E62" s="391"/>
      <c r="F62" s="391"/>
      <c r="G62" s="391"/>
      <c r="H62" s="391"/>
      <c r="I62" s="401" t="str">
        <f aca="false">IF(G62="","",IFERROR((H62-G62)/G62*100,0))</f>
        <v/>
      </c>
      <c r="J62" s="389" t="str">
        <f aca="false">IF(C62="","",IFERROR(IF(D62="ER3M",25,INDEX(FUTURES!$G$21:$G$26,MATCH(C62,FUTURES!$B$21:$B$26,0))),25))</f>
        <v/>
      </c>
      <c r="K62" s="394" t="str">
        <f aca="false">IF(J62="","",IF(E62="LONG",1,-1)*F62*J62)</f>
        <v/>
      </c>
      <c r="L62" s="375" t="n">
        <f aca="false">IF(D62="BOND",IFERROR(F62*J62*0.5,0),0)</f>
        <v>0</v>
      </c>
      <c r="M62" s="402" t="str">
        <f aca="false">IF(C62="","",IF(D62="ER3M",IF(E62="LONG",1,-1)*F62*(100-H62)/100/360*1000000/100,IF(E62="LONG",1,-1)*F62*0.02/365*100000))</f>
        <v/>
      </c>
      <c r="N62" s="397" t="str">
        <f aca="false">IF(J62="","",IF(E62="LONG",1,-1)*F62*J62*I62/100*100)</f>
        <v/>
      </c>
      <c r="O62" s="398" t="str">
        <f aca="false">IF(G62="","",IF(E62="LONG",1,-1)*F62*(H62-G62)*IF(D62="ER3M",2500,1000))</f>
        <v/>
      </c>
      <c r="P62" s="387"/>
      <c r="Q62" s="403"/>
    </row>
    <row r="63" customFormat="false" ht="18.75" hidden="false" customHeight="true" outlineLevel="0" collapsed="false">
      <c r="A63" s="390" t="n">
        <v>33</v>
      </c>
      <c r="B63" s="391"/>
      <c r="C63" s="391"/>
      <c r="D63" s="391"/>
      <c r="E63" s="391"/>
      <c r="F63" s="391"/>
      <c r="G63" s="391"/>
      <c r="H63" s="391"/>
      <c r="I63" s="392" t="str">
        <f aca="false">IF(G63="","",IFERROR((H63-G63)/G63*100,0))</f>
        <v/>
      </c>
      <c r="J63" s="393" t="str">
        <f aca="false">IF(C63="","",IFERROR(IF(D63="ER3M",25,INDEX(FUTURES!$G$21:$G$26,MATCH(C63,FUTURES!$B$21:$B$26,0))),25))</f>
        <v/>
      </c>
      <c r="K63" s="394" t="str">
        <f aca="false">IF(J63="","",IF(E63="LONG",1,-1)*F63*J63)</f>
        <v/>
      </c>
      <c r="L63" s="395" t="n">
        <f aca="false">IF(D63="BOND",IFERROR(F63*J63*0.5,0),0)</f>
        <v>0</v>
      </c>
      <c r="M63" s="396" t="str">
        <f aca="false">IF(C63="","",IF(D63="ER3M",IF(E63="LONG",1,-1)*F63*(100-H63)/100/360*1000000/100,IF(E63="LONG",1,-1)*F63*0.02/365*100000))</f>
        <v/>
      </c>
      <c r="N63" s="397" t="str">
        <f aca="false">IF(J63="","",IF(E63="LONG",1,-1)*F63*J63*I63/100*100)</f>
        <v/>
      </c>
      <c r="O63" s="398" t="str">
        <f aca="false">IF(G63="","",IF(E63="LONG",1,-1)*F63*(H63-G63)*IF(D63="ER3M",2500,1000))</f>
        <v/>
      </c>
      <c r="P63" s="399"/>
      <c r="Q63" s="400"/>
    </row>
    <row r="64" customFormat="false" ht="18.75" hidden="false" customHeight="true" outlineLevel="0" collapsed="false">
      <c r="A64" s="390" t="n">
        <v>34</v>
      </c>
      <c r="B64" s="391"/>
      <c r="C64" s="391"/>
      <c r="D64" s="391"/>
      <c r="E64" s="391"/>
      <c r="F64" s="391"/>
      <c r="G64" s="391"/>
      <c r="H64" s="391"/>
      <c r="I64" s="401" t="str">
        <f aca="false">IF(G64="","",IFERROR((H64-G64)/G64*100,0))</f>
        <v/>
      </c>
      <c r="J64" s="389" t="str">
        <f aca="false">IF(C64="","",IFERROR(IF(D64="ER3M",25,INDEX(FUTURES!$G$21:$G$26,MATCH(C64,FUTURES!$B$21:$B$26,0))),25))</f>
        <v/>
      </c>
      <c r="K64" s="394" t="str">
        <f aca="false">IF(J64="","",IF(E64="LONG",1,-1)*F64*J64)</f>
        <v/>
      </c>
      <c r="L64" s="375" t="n">
        <f aca="false">IF(D64="BOND",IFERROR(F64*J64*0.5,0),0)</f>
        <v>0</v>
      </c>
      <c r="M64" s="402" t="str">
        <f aca="false">IF(C64="","",IF(D64="ER3M",IF(E64="LONG",1,-1)*F64*(100-H64)/100/360*1000000/100,IF(E64="LONG",1,-1)*F64*0.02/365*100000))</f>
        <v/>
      </c>
      <c r="N64" s="397" t="str">
        <f aca="false">IF(J64="","",IF(E64="LONG",1,-1)*F64*J64*I64/100*100)</f>
        <v/>
      </c>
      <c r="O64" s="398" t="str">
        <f aca="false">IF(G64="","",IF(E64="LONG",1,-1)*F64*(H64-G64)*IF(D64="ER3M",2500,1000))</f>
        <v/>
      </c>
      <c r="P64" s="387"/>
      <c r="Q64" s="403"/>
    </row>
    <row r="65" customFormat="false" ht="18.75" hidden="false" customHeight="true" outlineLevel="0" collapsed="false">
      <c r="A65" s="390" t="n">
        <v>35</v>
      </c>
      <c r="B65" s="391"/>
      <c r="C65" s="391"/>
      <c r="D65" s="391"/>
      <c r="E65" s="391"/>
      <c r="F65" s="391"/>
      <c r="G65" s="391"/>
      <c r="H65" s="391"/>
      <c r="I65" s="392" t="str">
        <f aca="false">IF(G65="","",IFERROR((H65-G65)/G65*100,0))</f>
        <v/>
      </c>
      <c r="J65" s="393" t="str">
        <f aca="false">IF(C65="","",IFERROR(IF(D65="ER3M",25,INDEX(FUTURES!$G$21:$G$26,MATCH(C65,FUTURES!$B$21:$B$26,0))),25))</f>
        <v/>
      </c>
      <c r="K65" s="394" t="str">
        <f aca="false">IF(J65="","",IF(E65="LONG",1,-1)*F65*J65)</f>
        <v/>
      </c>
      <c r="L65" s="395" t="n">
        <f aca="false">IF(D65="BOND",IFERROR(F65*J65*0.5,0),0)</f>
        <v>0</v>
      </c>
      <c r="M65" s="396" t="str">
        <f aca="false">IF(C65="","",IF(D65="ER3M",IF(E65="LONG",1,-1)*F65*(100-H65)/100/360*1000000/100,IF(E65="LONG",1,-1)*F65*0.02/365*100000))</f>
        <v/>
      </c>
      <c r="N65" s="397" t="str">
        <f aca="false">IF(J65="","",IF(E65="LONG",1,-1)*F65*J65*I65/100*100)</f>
        <v/>
      </c>
      <c r="O65" s="398" t="str">
        <f aca="false">IF(G65="","",IF(E65="LONG",1,-1)*F65*(H65-G65)*IF(D65="ER3M",2500,1000))</f>
        <v/>
      </c>
      <c r="P65" s="399"/>
      <c r="Q65" s="400"/>
    </row>
    <row r="66" customFormat="false" ht="18.75" hidden="false" customHeight="true" outlineLevel="0" collapsed="false">
      <c r="A66" s="390" t="n">
        <v>36</v>
      </c>
      <c r="B66" s="391"/>
      <c r="C66" s="391"/>
      <c r="D66" s="391"/>
      <c r="E66" s="391"/>
      <c r="F66" s="391"/>
      <c r="G66" s="391"/>
      <c r="H66" s="391"/>
      <c r="I66" s="401" t="str">
        <f aca="false">IF(G66="","",IFERROR((H66-G66)/G66*100,0))</f>
        <v/>
      </c>
      <c r="J66" s="389" t="str">
        <f aca="false">IF(C66="","",IFERROR(IF(D66="ER3M",25,INDEX(FUTURES!$G$21:$G$26,MATCH(C66,FUTURES!$B$21:$B$26,0))),25))</f>
        <v/>
      </c>
      <c r="K66" s="394" t="str">
        <f aca="false">IF(J66="","",IF(E66="LONG",1,-1)*F66*J66)</f>
        <v/>
      </c>
      <c r="L66" s="375" t="n">
        <f aca="false">IF(D66="BOND",IFERROR(F66*J66*0.5,0),0)</f>
        <v>0</v>
      </c>
      <c r="M66" s="402" t="str">
        <f aca="false">IF(C66="","",IF(D66="ER3M",IF(E66="LONG",1,-1)*F66*(100-H66)/100/360*1000000/100,IF(E66="LONG",1,-1)*F66*0.02/365*100000))</f>
        <v/>
      </c>
      <c r="N66" s="397" t="str">
        <f aca="false">IF(J66="","",IF(E66="LONG",1,-1)*F66*J66*I66/100*100)</f>
        <v/>
      </c>
      <c r="O66" s="398" t="str">
        <f aca="false">IF(G66="","",IF(E66="LONG",1,-1)*F66*(H66-G66)*IF(D66="ER3M",2500,1000))</f>
        <v/>
      </c>
      <c r="P66" s="387"/>
      <c r="Q66" s="403"/>
    </row>
    <row r="67" customFormat="false" ht="18.75" hidden="false" customHeight="true" outlineLevel="0" collapsed="false">
      <c r="A67" s="390" t="n">
        <v>37</v>
      </c>
      <c r="B67" s="391"/>
      <c r="C67" s="391"/>
      <c r="D67" s="391"/>
      <c r="E67" s="391"/>
      <c r="F67" s="391"/>
      <c r="G67" s="391"/>
      <c r="H67" s="391"/>
      <c r="I67" s="392" t="str">
        <f aca="false">IF(G67="","",IFERROR((H67-G67)/G67*100,0))</f>
        <v/>
      </c>
      <c r="J67" s="393" t="str">
        <f aca="false">IF(C67="","",IFERROR(IF(D67="ER3M",25,INDEX(FUTURES!$G$21:$G$26,MATCH(C67,FUTURES!$B$21:$B$26,0))),25))</f>
        <v/>
      </c>
      <c r="K67" s="394" t="str">
        <f aca="false">IF(J67="","",IF(E67="LONG",1,-1)*F67*J67)</f>
        <v/>
      </c>
      <c r="L67" s="395" t="n">
        <f aca="false">IF(D67="BOND",IFERROR(F67*J67*0.5,0),0)</f>
        <v>0</v>
      </c>
      <c r="M67" s="396" t="str">
        <f aca="false">IF(C67="","",IF(D67="ER3M",IF(E67="LONG",1,-1)*F67*(100-H67)/100/360*1000000/100,IF(E67="LONG",1,-1)*F67*0.02/365*100000))</f>
        <v/>
      </c>
      <c r="N67" s="397" t="str">
        <f aca="false">IF(J67="","",IF(E67="LONG",1,-1)*F67*J67*I67/100*100)</f>
        <v/>
      </c>
      <c r="O67" s="398" t="str">
        <f aca="false">IF(G67="","",IF(E67="LONG",1,-1)*F67*(H67-G67)*IF(D67="ER3M",2500,1000))</f>
        <v/>
      </c>
      <c r="P67" s="399"/>
      <c r="Q67" s="400"/>
    </row>
    <row r="68" customFormat="false" ht="18.75" hidden="false" customHeight="true" outlineLevel="0" collapsed="false">
      <c r="A68" s="390" t="n">
        <v>38</v>
      </c>
      <c r="B68" s="391"/>
      <c r="C68" s="391"/>
      <c r="D68" s="391"/>
      <c r="E68" s="391"/>
      <c r="F68" s="391"/>
      <c r="G68" s="391"/>
      <c r="H68" s="391"/>
      <c r="I68" s="401" t="str">
        <f aca="false">IF(G68="","",IFERROR((H68-G68)/G68*100,0))</f>
        <v/>
      </c>
      <c r="J68" s="389" t="str">
        <f aca="false">IF(C68="","",IFERROR(IF(D68="ER3M",25,INDEX(FUTURES!$G$21:$G$26,MATCH(C68,FUTURES!$B$21:$B$26,0))),25))</f>
        <v/>
      </c>
      <c r="K68" s="394" t="str">
        <f aca="false">IF(J68="","",IF(E68="LONG",1,-1)*F68*J68)</f>
        <v/>
      </c>
      <c r="L68" s="375" t="n">
        <f aca="false">IF(D68="BOND",IFERROR(F68*J68*0.5,0),0)</f>
        <v>0</v>
      </c>
      <c r="M68" s="402" t="str">
        <f aca="false">IF(C68="","",IF(D68="ER3M",IF(E68="LONG",1,-1)*F68*(100-H68)/100/360*1000000/100,IF(E68="LONG",1,-1)*F68*0.02/365*100000))</f>
        <v/>
      </c>
      <c r="N68" s="397" t="str">
        <f aca="false">IF(J68="","",IF(E68="LONG",1,-1)*F68*J68*I68/100*100)</f>
        <v/>
      </c>
      <c r="O68" s="398" t="str">
        <f aca="false">IF(G68="","",IF(E68="LONG",1,-1)*F68*(H68-G68)*IF(D68="ER3M",2500,1000))</f>
        <v/>
      </c>
      <c r="P68" s="387"/>
      <c r="Q68" s="403"/>
    </row>
    <row r="69" customFormat="false" ht="18.75" hidden="false" customHeight="true" outlineLevel="0" collapsed="false">
      <c r="A69" s="390" t="n">
        <v>39</v>
      </c>
      <c r="B69" s="391"/>
      <c r="C69" s="391"/>
      <c r="D69" s="391"/>
      <c r="E69" s="391"/>
      <c r="F69" s="391"/>
      <c r="G69" s="391"/>
      <c r="H69" s="391"/>
      <c r="I69" s="392" t="str">
        <f aca="false">IF(G69="","",IFERROR((H69-G69)/G69*100,0))</f>
        <v/>
      </c>
      <c r="J69" s="393" t="str">
        <f aca="false">IF(C69="","",IFERROR(IF(D69="ER3M",25,INDEX(FUTURES!$G$21:$G$26,MATCH(C69,FUTURES!$B$21:$B$26,0))),25))</f>
        <v/>
      </c>
      <c r="K69" s="394" t="str">
        <f aca="false">IF(J69="","",IF(E69="LONG",1,-1)*F69*J69)</f>
        <v/>
      </c>
      <c r="L69" s="395" t="n">
        <f aca="false">IF(D69="BOND",IFERROR(F69*J69*0.5,0),0)</f>
        <v>0</v>
      </c>
      <c r="M69" s="396" t="str">
        <f aca="false">IF(C69="","",IF(D69="ER3M",IF(E69="LONG",1,-1)*F69*(100-H69)/100/360*1000000/100,IF(E69="LONG",1,-1)*F69*0.02/365*100000))</f>
        <v/>
      </c>
      <c r="N69" s="397" t="str">
        <f aca="false">IF(J69="","",IF(E69="LONG",1,-1)*F69*J69*I69/100*100)</f>
        <v/>
      </c>
      <c r="O69" s="398" t="str">
        <f aca="false">IF(G69="","",IF(E69="LONG",1,-1)*F69*(H69-G69)*IF(D69="ER3M",2500,1000))</f>
        <v/>
      </c>
      <c r="P69" s="399"/>
      <c r="Q69" s="400"/>
    </row>
    <row r="70" customFormat="false" ht="18.75" hidden="false" customHeight="true" outlineLevel="0" collapsed="false">
      <c r="A70" s="390" t="n">
        <v>40</v>
      </c>
      <c r="B70" s="391"/>
      <c r="C70" s="391"/>
      <c r="D70" s="391"/>
      <c r="E70" s="391"/>
      <c r="F70" s="391"/>
      <c r="G70" s="391"/>
      <c r="H70" s="391"/>
      <c r="I70" s="401" t="str">
        <f aca="false">IF(G70="","",IFERROR((H70-G70)/G70*100,0))</f>
        <v/>
      </c>
      <c r="J70" s="389" t="str">
        <f aca="false">IF(C70="","",IFERROR(IF(D70="ER3M",25,INDEX(FUTURES!$G$21:$G$26,MATCH(C70,FUTURES!$B$21:$B$26,0))),25))</f>
        <v/>
      </c>
      <c r="K70" s="394" t="str">
        <f aca="false">IF(J70="","",IF(E70="LONG",1,-1)*F70*J70)</f>
        <v/>
      </c>
      <c r="L70" s="375" t="n">
        <f aca="false">IF(D70="BOND",IFERROR(F70*J70*0.5,0),0)</f>
        <v>0</v>
      </c>
      <c r="M70" s="402" t="str">
        <f aca="false">IF(C70="","",IF(D70="ER3M",IF(E70="LONG",1,-1)*F70*(100-H70)/100/360*1000000/100,IF(E70="LONG",1,-1)*F70*0.02/365*100000))</f>
        <v/>
      </c>
      <c r="N70" s="397" t="str">
        <f aca="false">IF(J70="","",IF(E70="LONG",1,-1)*F70*J70*I70/100*100)</f>
        <v/>
      </c>
      <c r="O70" s="398" t="str">
        <f aca="false">IF(G70="","",IF(E70="LONG",1,-1)*F70*(H70-G70)*IF(D70="ER3M",2500,1000))</f>
        <v/>
      </c>
      <c r="P70" s="387"/>
      <c r="Q70" s="403"/>
    </row>
    <row r="71" customFormat="false" ht="18.75" hidden="false" customHeight="true" outlineLevel="0" collapsed="false">
      <c r="A71" s="390" t="n">
        <v>41</v>
      </c>
      <c r="B71" s="391"/>
      <c r="C71" s="391"/>
      <c r="D71" s="391"/>
      <c r="E71" s="391"/>
      <c r="F71" s="391"/>
      <c r="G71" s="391"/>
      <c r="H71" s="391"/>
      <c r="I71" s="392" t="str">
        <f aca="false">IF(G71="","",IFERROR((H71-G71)/G71*100,0))</f>
        <v/>
      </c>
      <c r="J71" s="393" t="str">
        <f aca="false">IF(C71="","",IFERROR(IF(D71="ER3M",25,INDEX(FUTURES!$G$21:$G$26,MATCH(C71,FUTURES!$B$21:$B$26,0))),25))</f>
        <v/>
      </c>
      <c r="K71" s="394" t="str">
        <f aca="false">IF(J71="","",IF(E71="LONG",1,-1)*F71*J71)</f>
        <v/>
      </c>
      <c r="L71" s="395" t="n">
        <f aca="false">IF(D71="BOND",IFERROR(F71*J71*0.5,0),0)</f>
        <v>0</v>
      </c>
      <c r="M71" s="396" t="str">
        <f aca="false">IF(C71="","",IF(D71="ER3M",IF(E71="LONG",1,-1)*F71*(100-H71)/100/360*1000000/100,IF(E71="LONG",1,-1)*F71*0.02/365*100000))</f>
        <v/>
      </c>
      <c r="N71" s="397" t="str">
        <f aca="false">IF(J71="","",IF(E71="LONG",1,-1)*F71*J71*I71/100*100)</f>
        <v/>
      </c>
      <c r="O71" s="398" t="str">
        <f aca="false">IF(G71="","",IF(E71="LONG",1,-1)*F71*(H71-G71)*IF(D71="ER3M",2500,1000))</f>
        <v/>
      </c>
      <c r="P71" s="399"/>
      <c r="Q71" s="400"/>
    </row>
    <row r="72" customFormat="false" ht="18.75" hidden="false" customHeight="true" outlineLevel="0" collapsed="false">
      <c r="A72" s="390" t="n">
        <v>42</v>
      </c>
      <c r="B72" s="391"/>
      <c r="C72" s="391"/>
      <c r="D72" s="391"/>
      <c r="E72" s="391"/>
      <c r="F72" s="391"/>
      <c r="G72" s="391"/>
      <c r="H72" s="391"/>
      <c r="I72" s="401" t="str">
        <f aca="false">IF(G72="","",IFERROR((H72-G72)/G72*100,0))</f>
        <v/>
      </c>
      <c r="J72" s="389" t="str">
        <f aca="false">IF(C72="","",IFERROR(IF(D72="ER3M",25,INDEX(FUTURES!$G$21:$G$26,MATCH(C72,FUTURES!$B$21:$B$26,0))),25))</f>
        <v/>
      </c>
      <c r="K72" s="394" t="str">
        <f aca="false">IF(J72="","",IF(E72="LONG",1,-1)*F72*J72)</f>
        <v/>
      </c>
      <c r="L72" s="375" t="n">
        <f aca="false">IF(D72="BOND",IFERROR(F72*J72*0.5,0),0)</f>
        <v>0</v>
      </c>
      <c r="M72" s="402" t="str">
        <f aca="false">IF(C72="","",IF(D72="ER3M",IF(E72="LONG",1,-1)*F72*(100-H72)/100/360*1000000/100,IF(E72="LONG",1,-1)*F72*0.02/365*100000))</f>
        <v/>
      </c>
      <c r="N72" s="397" t="str">
        <f aca="false">IF(J72="","",IF(E72="LONG",1,-1)*F72*J72*I72/100*100)</f>
        <v/>
      </c>
      <c r="O72" s="398" t="str">
        <f aca="false">IF(G72="","",IF(E72="LONG",1,-1)*F72*(H72-G72)*IF(D72="ER3M",2500,1000))</f>
        <v/>
      </c>
      <c r="P72" s="387"/>
      <c r="Q72" s="403"/>
    </row>
    <row r="73" customFormat="false" ht="18.75" hidden="false" customHeight="true" outlineLevel="0" collapsed="false">
      <c r="A73" s="390" t="n">
        <v>43</v>
      </c>
      <c r="B73" s="391"/>
      <c r="C73" s="391"/>
      <c r="D73" s="391"/>
      <c r="E73" s="391"/>
      <c r="F73" s="391"/>
      <c r="G73" s="391"/>
      <c r="H73" s="391"/>
      <c r="I73" s="392" t="str">
        <f aca="false">IF(G73="","",IFERROR((H73-G73)/G73*100,0))</f>
        <v/>
      </c>
      <c r="J73" s="393" t="str">
        <f aca="false">IF(C73="","",IFERROR(IF(D73="ER3M",25,INDEX(FUTURES!$G$21:$G$26,MATCH(C73,FUTURES!$B$21:$B$26,0))),25))</f>
        <v/>
      </c>
      <c r="K73" s="394" t="str">
        <f aca="false">IF(J73="","",IF(E73="LONG",1,-1)*F73*J73)</f>
        <v/>
      </c>
      <c r="L73" s="395" t="n">
        <f aca="false">IF(D73="BOND",IFERROR(F73*J73*0.5,0),0)</f>
        <v>0</v>
      </c>
      <c r="M73" s="396" t="str">
        <f aca="false">IF(C73="","",IF(D73="ER3M",IF(E73="LONG",1,-1)*F73*(100-H73)/100/360*1000000/100,IF(E73="LONG",1,-1)*F73*0.02/365*100000))</f>
        <v/>
      </c>
      <c r="N73" s="397" t="str">
        <f aca="false">IF(J73="","",IF(E73="LONG",1,-1)*F73*J73*I73/100*100)</f>
        <v/>
      </c>
      <c r="O73" s="398" t="str">
        <f aca="false">IF(G73="","",IF(E73="LONG",1,-1)*F73*(H73-G73)*IF(D73="ER3M",2500,1000))</f>
        <v/>
      </c>
      <c r="P73" s="399"/>
      <c r="Q73" s="400"/>
    </row>
    <row r="74" customFormat="false" ht="18.75" hidden="false" customHeight="true" outlineLevel="0" collapsed="false">
      <c r="A74" s="390" t="n">
        <v>44</v>
      </c>
      <c r="B74" s="391"/>
      <c r="C74" s="391"/>
      <c r="D74" s="391"/>
      <c r="E74" s="391"/>
      <c r="F74" s="391"/>
      <c r="G74" s="391"/>
      <c r="H74" s="391"/>
      <c r="I74" s="401" t="str">
        <f aca="false">IF(G74="","",IFERROR((H74-G74)/G74*100,0))</f>
        <v/>
      </c>
      <c r="J74" s="389" t="str">
        <f aca="false">IF(C74="","",IFERROR(IF(D74="ER3M",25,INDEX(FUTURES!$G$21:$G$26,MATCH(C74,FUTURES!$B$21:$B$26,0))),25))</f>
        <v/>
      </c>
      <c r="K74" s="394" t="str">
        <f aca="false">IF(J74="","",IF(E74="LONG",1,-1)*F74*J74)</f>
        <v/>
      </c>
      <c r="L74" s="375" t="n">
        <f aca="false">IF(D74="BOND",IFERROR(F74*J74*0.5,0),0)</f>
        <v>0</v>
      </c>
      <c r="M74" s="402" t="str">
        <f aca="false">IF(C74="","",IF(D74="ER3M",IF(E74="LONG",1,-1)*F74*(100-H74)/100/360*1000000/100,IF(E74="LONG",1,-1)*F74*0.02/365*100000))</f>
        <v/>
      </c>
      <c r="N74" s="397" t="str">
        <f aca="false">IF(J74="","",IF(E74="LONG",1,-1)*F74*J74*I74/100*100)</f>
        <v/>
      </c>
      <c r="O74" s="398" t="str">
        <f aca="false">IF(G74="","",IF(E74="LONG",1,-1)*F74*(H74-G74)*IF(D74="ER3M",2500,1000))</f>
        <v/>
      </c>
      <c r="P74" s="387"/>
      <c r="Q74" s="403"/>
    </row>
    <row r="75" customFormat="false" ht="18.75" hidden="false" customHeight="true" outlineLevel="0" collapsed="false">
      <c r="A75" s="390" t="n">
        <v>45</v>
      </c>
      <c r="B75" s="391"/>
      <c r="C75" s="391"/>
      <c r="D75" s="391"/>
      <c r="E75" s="391"/>
      <c r="F75" s="391"/>
      <c r="G75" s="391"/>
      <c r="H75" s="391"/>
      <c r="I75" s="392" t="str">
        <f aca="false">IF(G75="","",IFERROR((H75-G75)/G75*100,0))</f>
        <v/>
      </c>
      <c r="J75" s="393" t="str">
        <f aca="false">IF(C75="","",IFERROR(IF(D75="ER3M",25,INDEX(FUTURES!$G$21:$G$26,MATCH(C75,FUTURES!$B$21:$B$26,0))),25))</f>
        <v/>
      </c>
      <c r="K75" s="394" t="str">
        <f aca="false">IF(J75="","",IF(E75="LONG",1,-1)*F75*J75)</f>
        <v/>
      </c>
      <c r="L75" s="395" t="n">
        <f aca="false">IF(D75="BOND",IFERROR(F75*J75*0.5,0),0)</f>
        <v>0</v>
      </c>
      <c r="M75" s="396" t="str">
        <f aca="false">IF(C75="","",IF(D75="ER3M",IF(E75="LONG",1,-1)*F75*(100-H75)/100/360*1000000/100,IF(E75="LONG",1,-1)*F75*0.02/365*100000))</f>
        <v/>
      </c>
      <c r="N75" s="397" t="str">
        <f aca="false">IF(J75="","",IF(E75="LONG",1,-1)*F75*J75*I75/100*100)</f>
        <v/>
      </c>
      <c r="O75" s="398" t="str">
        <f aca="false">IF(G75="","",IF(E75="LONG",1,-1)*F75*(H75-G75)*IF(D75="ER3M",2500,1000))</f>
        <v/>
      </c>
      <c r="P75" s="399"/>
      <c r="Q75" s="400"/>
    </row>
    <row r="76" customFormat="false" ht="18.75" hidden="false" customHeight="true" outlineLevel="0" collapsed="false">
      <c r="A76" s="390" t="n">
        <v>46</v>
      </c>
      <c r="B76" s="391"/>
      <c r="C76" s="391"/>
      <c r="D76" s="391"/>
      <c r="E76" s="391"/>
      <c r="F76" s="391"/>
      <c r="G76" s="391"/>
      <c r="H76" s="391"/>
      <c r="I76" s="401" t="str">
        <f aca="false">IF(G76="","",IFERROR((H76-G76)/G76*100,0))</f>
        <v/>
      </c>
      <c r="J76" s="389" t="str">
        <f aca="false">IF(C76="","",IFERROR(IF(D76="ER3M",25,INDEX(FUTURES!$G$21:$G$26,MATCH(C76,FUTURES!$B$21:$B$26,0))),25))</f>
        <v/>
      </c>
      <c r="K76" s="394" t="str">
        <f aca="false">IF(J76="","",IF(E76="LONG",1,-1)*F76*J76)</f>
        <v/>
      </c>
      <c r="L76" s="375" t="n">
        <f aca="false">IF(D76="BOND",IFERROR(F76*J76*0.5,0),0)</f>
        <v>0</v>
      </c>
      <c r="M76" s="402" t="str">
        <f aca="false">IF(C76="","",IF(D76="ER3M",IF(E76="LONG",1,-1)*F76*(100-H76)/100/360*1000000/100,IF(E76="LONG",1,-1)*F76*0.02/365*100000))</f>
        <v/>
      </c>
      <c r="N76" s="397" t="str">
        <f aca="false">IF(J76="","",IF(E76="LONG",1,-1)*F76*J76*I76/100*100)</f>
        <v/>
      </c>
      <c r="O76" s="398" t="str">
        <f aca="false">IF(G76="","",IF(E76="LONG",1,-1)*F76*(H76-G76)*IF(D76="ER3M",2500,1000))</f>
        <v/>
      </c>
      <c r="P76" s="387"/>
      <c r="Q76" s="403"/>
    </row>
    <row r="77" customFormat="false" ht="18.75" hidden="false" customHeight="true" outlineLevel="0" collapsed="false">
      <c r="A77" s="390" t="n">
        <v>47</v>
      </c>
      <c r="B77" s="391"/>
      <c r="C77" s="391"/>
      <c r="D77" s="391"/>
      <c r="E77" s="391"/>
      <c r="F77" s="391"/>
      <c r="G77" s="391"/>
      <c r="H77" s="391"/>
      <c r="I77" s="392" t="str">
        <f aca="false">IF(G77="","",IFERROR((H77-G77)/G77*100,0))</f>
        <v/>
      </c>
      <c r="J77" s="393" t="str">
        <f aca="false">IF(C77="","",IFERROR(IF(D77="ER3M",25,INDEX(FUTURES!$G$21:$G$26,MATCH(C77,FUTURES!$B$21:$B$26,0))),25))</f>
        <v/>
      </c>
      <c r="K77" s="394" t="str">
        <f aca="false">IF(J77="","",IF(E77="LONG",1,-1)*F77*J77)</f>
        <v/>
      </c>
      <c r="L77" s="395" t="n">
        <f aca="false">IF(D77="BOND",IFERROR(F77*J77*0.5,0),0)</f>
        <v>0</v>
      </c>
      <c r="M77" s="396" t="str">
        <f aca="false">IF(C77="","",IF(D77="ER3M",IF(E77="LONG",1,-1)*F77*(100-H77)/100/360*1000000/100,IF(E77="LONG",1,-1)*F77*0.02/365*100000))</f>
        <v/>
      </c>
      <c r="N77" s="397" t="str">
        <f aca="false">IF(J77="","",IF(E77="LONG",1,-1)*F77*J77*I77/100*100)</f>
        <v/>
      </c>
      <c r="O77" s="398" t="str">
        <f aca="false">IF(G77="","",IF(E77="LONG",1,-1)*F77*(H77-G77)*IF(D77="ER3M",2500,1000))</f>
        <v/>
      </c>
      <c r="P77" s="399"/>
      <c r="Q77" s="400"/>
    </row>
    <row r="78" customFormat="false" ht="18.75" hidden="false" customHeight="true" outlineLevel="0" collapsed="false">
      <c r="A78" s="390" t="n">
        <v>48</v>
      </c>
      <c r="B78" s="391"/>
      <c r="C78" s="391"/>
      <c r="D78" s="391"/>
      <c r="E78" s="391"/>
      <c r="F78" s="391"/>
      <c r="G78" s="391"/>
      <c r="H78" s="391"/>
      <c r="I78" s="401" t="str">
        <f aca="false">IF(G78="","",IFERROR((H78-G78)/G78*100,0))</f>
        <v/>
      </c>
      <c r="J78" s="389" t="str">
        <f aca="false">IF(C78="","",IFERROR(IF(D78="ER3M",25,INDEX(FUTURES!$G$21:$G$26,MATCH(C78,FUTURES!$B$21:$B$26,0))),25))</f>
        <v/>
      </c>
      <c r="K78" s="394" t="str">
        <f aca="false">IF(J78="","",IF(E78="LONG",1,-1)*F78*J78)</f>
        <v/>
      </c>
      <c r="L78" s="375" t="n">
        <f aca="false">IF(D78="BOND",IFERROR(F78*J78*0.5,0),0)</f>
        <v>0</v>
      </c>
      <c r="M78" s="402" t="str">
        <f aca="false">IF(C78="","",IF(D78="ER3M",IF(E78="LONG",1,-1)*F78*(100-H78)/100/360*1000000/100,IF(E78="LONG",1,-1)*F78*0.02/365*100000))</f>
        <v/>
      </c>
      <c r="N78" s="397" t="str">
        <f aca="false">IF(J78="","",IF(E78="LONG",1,-1)*F78*J78*I78/100*100)</f>
        <v/>
      </c>
      <c r="O78" s="398" t="str">
        <f aca="false">IF(G78="","",IF(E78="LONG",1,-1)*F78*(H78-G78)*IF(D78="ER3M",2500,1000))</f>
        <v/>
      </c>
      <c r="P78" s="387"/>
      <c r="Q78" s="403"/>
    </row>
    <row r="79" customFormat="false" ht="18.75" hidden="false" customHeight="true" outlineLevel="0" collapsed="false">
      <c r="A79" s="390" t="n">
        <v>49</v>
      </c>
      <c r="B79" s="391"/>
      <c r="C79" s="391"/>
      <c r="D79" s="391"/>
      <c r="E79" s="391"/>
      <c r="F79" s="391"/>
      <c r="G79" s="391"/>
      <c r="H79" s="391"/>
      <c r="I79" s="392" t="str">
        <f aca="false">IF(G79="","",IFERROR((H79-G79)/G79*100,0))</f>
        <v/>
      </c>
      <c r="J79" s="393" t="str">
        <f aca="false">IF(C79="","",IFERROR(IF(D79="ER3M",25,INDEX(FUTURES!$G$21:$G$26,MATCH(C79,FUTURES!$B$21:$B$26,0))),25))</f>
        <v/>
      </c>
      <c r="K79" s="394" t="str">
        <f aca="false">IF(J79="","",IF(E79="LONG",1,-1)*F79*J79)</f>
        <v/>
      </c>
      <c r="L79" s="395" t="n">
        <f aca="false">IF(D79="BOND",IFERROR(F79*J79*0.5,0),0)</f>
        <v>0</v>
      </c>
      <c r="M79" s="396" t="str">
        <f aca="false">IF(C79="","",IF(D79="ER3M",IF(E79="LONG",1,-1)*F79*(100-H79)/100/360*1000000/100,IF(E79="LONG",1,-1)*F79*0.02/365*100000))</f>
        <v/>
      </c>
      <c r="N79" s="397" t="str">
        <f aca="false">IF(J79="","",IF(E79="LONG",1,-1)*F79*J79*I79/100*100)</f>
        <v/>
      </c>
      <c r="O79" s="398" t="str">
        <f aca="false">IF(G79="","",IF(E79="LONG",1,-1)*F79*(H79-G79)*IF(D79="ER3M",2500,1000))</f>
        <v/>
      </c>
      <c r="P79" s="399"/>
      <c r="Q79" s="400"/>
    </row>
    <row r="80" customFormat="false" ht="18.75" hidden="false" customHeight="true" outlineLevel="0" collapsed="false">
      <c r="A80" s="390" t="n">
        <v>50</v>
      </c>
      <c r="B80" s="391"/>
      <c r="C80" s="391"/>
      <c r="D80" s="391"/>
      <c r="E80" s="391"/>
      <c r="F80" s="391"/>
      <c r="G80" s="391"/>
      <c r="H80" s="391"/>
      <c r="I80" s="401" t="str">
        <f aca="false">IF(G80="","",IFERROR((H80-G80)/G80*100,0))</f>
        <v/>
      </c>
      <c r="J80" s="389" t="str">
        <f aca="false">IF(C80="","",IFERROR(IF(D80="ER3M",25,INDEX(FUTURES!$G$21:$G$26,MATCH(C80,FUTURES!$B$21:$B$26,0))),25))</f>
        <v/>
      </c>
      <c r="K80" s="394" t="str">
        <f aca="false">IF(J80="","",IF(E80="LONG",1,-1)*F80*J80)</f>
        <v/>
      </c>
      <c r="L80" s="375" t="n">
        <f aca="false">IF(D80="BOND",IFERROR(F80*J80*0.5,0),0)</f>
        <v>0</v>
      </c>
      <c r="M80" s="402" t="str">
        <f aca="false">IF(C80="","",IF(D80="ER3M",IF(E80="LONG",1,-1)*F80*(100-H80)/100/360*1000000/100,IF(E80="LONG",1,-1)*F80*0.02/365*100000))</f>
        <v/>
      </c>
      <c r="N80" s="397" t="str">
        <f aca="false">IF(J80="","",IF(E80="LONG",1,-1)*F80*J80*I80/100*100)</f>
        <v/>
      </c>
      <c r="O80" s="398" t="str">
        <f aca="false">IF(G80="","",IF(E80="LONG",1,-1)*F80*(H80-G80)*IF(D80="ER3M",2500,1000))</f>
        <v/>
      </c>
      <c r="P80" s="387"/>
      <c r="Q80" s="403"/>
    </row>
    <row r="81" customFormat="false" ht="25.5" hidden="false" customHeight="true" outlineLevel="0" collapsed="false">
      <c r="A81" s="91" t="s">
        <v>436</v>
      </c>
      <c r="B81" s="91"/>
      <c r="C81" s="91"/>
      <c r="D81" s="91"/>
      <c r="E81" s="91"/>
      <c r="F81" s="91"/>
      <c r="G81" s="91"/>
      <c r="H81" s="91"/>
      <c r="I81" s="91"/>
      <c r="J81" s="91"/>
      <c r="K81" s="404" t="n">
        <f aca="false">SUM(K31:K80)</f>
        <v>310</v>
      </c>
      <c r="M81" s="404" t="n">
        <f aca="false">SUM(M31:M80)</f>
        <v>-4.36948249619485</v>
      </c>
      <c r="N81" s="404" t="n">
        <f aca="false">SUM(N31:N80)</f>
        <v>0</v>
      </c>
      <c r="O81" s="404" t="n">
        <f aca="false">SUM(O31:O80)</f>
        <v>0</v>
      </c>
    </row>
  </sheetData>
  <mergeCells count="7">
    <mergeCell ref="A1:S1"/>
    <mergeCell ref="A2:S2"/>
    <mergeCell ref="A4:I4"/>
    <mergeCell ref="K4:R4"/>
    <mergeCell ref="A19:I19"/>
    <mergeCell ref="A29:S29"/>
    <mergeCell ref="A81:J81"/>
  </mergeCells>
  <conditionalFormatting sqref="K31:K80">
    <cfRule type="colorScale" priority="2">
      <colorScale>
        <cfvo type="min" val="0"/>
        <cfvo type="num" val="0"/>
        <cfvo type="max" val="0"/>
        <color rgb="FFE53935"/>
        <color rgb="FFFFFFFF"/>
        <color rgb="FF1B5E20"/>
      </colorScale>
    </cfRule>
  </conditionalFormatting>
  <conditionalFormatting sqref="O31:O80">
    <cfRule type="colorScale" priority="3">
      <colorScale>
        <cfvo type="min" val="0"/>
        <cfvo type="num" val="0"/>
        <cfvo type="max" val="0"/>
        <color rgb="FFE53935"/>
        <color rgb="FFFFFFFF"/>
        <color rgb="FF1B5E20"/>
      </colorScale>
    </cfRule>
  </conditionalFormatting>
  <dataValidations count="2">
    <dataValidation allowBlank="false" errorStyle="stop" operator="between" showDropDown="false" showErrorMessage="false" showInputMessage="false" sqref="D31:D80" type="list">
      <formula1>"ER3M,BOND"</formula1>
      <formula2>0</formula2>
    </dataValidation>
    <dataValidation allowBlank="false" errorStyle="stop" operator="between" showDropDown="false" showErrorMessage="false" showInputMessage="false" sqref="E31:E80" type="list">
      <formula1>"LONG,SHORT"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0080"/>
    <pageSetUpPr fitToPage="false"/>
  </sheetPr>
  <dimension ref="A1:T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1" min="3" style="0" width="13"/>
    <col collapsed="false" customWidth="true" hidden="false" outlineLevel="0" max="12" min="12" style="0" width="16"/>
    <col collapsed="false" customWidth="true" hidden="false" outlineLevel="0" max="13" min="13" style="0" width="3"/>
    <col collapsed="false" customWidth="true" hidden="false" outlineLevel="0" max="14" min="14" style="0" width="22"/>
    <col collapsed="false" customWidth="true" hidden="false" outlineLevel="0" max="19" min="15" style="0" width="13"/>
    <col collapsed="false" customWidth="true" hidden="false" outlineLevel="0" max="20" min="20" style="0" width="16"/>
  </cols>
  <sheetData>
    <row r="1" customFormat="false" ht="39.75" hidden="false" customHeight="true" outlineLevel="0" collapsed="false">
      <c r="A1" s="351" t="s">
        <v>437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</row>
    <row r="2" customFormat="false" ht="18" hidden="false" customHeight="true" outlineLevel="0" collapsed="false">
      <c r="A2" s="352" t="s">
        <v>438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</row>
    <row r="3" customFormat="false" ht="7.5" hidden="false" customHeight="true" outlineLevel="0" collapsed="false"/>
    <row r="4" customFormat="false" ht="25.5" hidden="false" customHeight="true" outlineLevel="0" collapsed="false">
      <c r="B4" s="353" t="s">
        <v>439</v>
      </c>
      <c r="C4" s="353"/>
      <c r="D4" s="353"/>
      <c r="E4" s="353"/>
      <c r="F4" s="353"/>
      <c r="G4" s="353"/>
      <c r="H4" s="353"/>
      <c r="I4" s="353"/>
      <c r="J4" s="353"/>
      <c r="K4" s="353"/>
      <c r="L4" s="353"/>
      <c r="N4" s="5" t="s">
        <v>440</v>
      </c>
      <c r="O4" s="5"/>
      <c r="P4" s="5"/>
      <c r="Q4" s="5"/>
      <c r="R4" s="5"/>
      <c r="S4" s="5"/>
      <c r="T4" s="5"/>
    </row>
    <row r="5" customFormat="false" ht="25.5" hidden="false" customHeight="true" outlineLevel="0" collapsed="false">
      <c r="B5" s="354" t="s">
        <v>441</v>
      </c>
      <c r="C5" s="354" t="s">
        <v>442</v>
      </c>
      <c r="D5" s="354" t="s">
        <v>443</v>
      </c>
      <c r="E5" s="354" t="s">
        <v>444</v>
      </c>
      <c r="F5" s="354" t="s">
        <v>445</v>
      </c>
      <c r="N5" s="81" t="s">
        <v>441</v>
      </c>
      <c r="O5" s="81" t="s">
        <v>446</v>
      </c>
      <c r="P5" s="81" t="s">
        <v>447</v>
      </c>
      <c r="Q5" s="81" t="s">
        <v>448</v>
      </c>
      <c r="R5" s="81" t="s">
        <v>445</v>
      </c>
      <c r="S5" s="81" t="s">
        <v>116</v>
      </c>
    </row>
    <row r="6" customFormat="false" ht="21.75" hidden="false" customHeight="true" outlineLevel="0" collapsed="false">
      <c r="B6" s="405" t="s">
        <v>347</v>
      </c>
      <c r="C6" s="391" t="s">
        <v>366</v>
      </c>
      <c r="D6" s="391" t="s">
        <v>371</v>
      </c>
      <c r="E6" s="406" t="s">
        <v>449</v>
      </c>
      <c r="F6" s="407" t="s">
        <v>450</v>
      </c>
      <c r="N6" s="408" t="s">
        <v>451</v>
      </c>
      <c r="O6" s="391" t="s">
        <v>361</v>
      </c>
      <c r="P6" s="409" t="s">
        <v>317</v>
      </c>
      <c r="Q6" s="410"/>
      <c r="R6" s="410"/>
      <c r="S6" s="410"/>
      <c r="T6" s="410"/>
    </row>
    <row r="7" customFormat="false" ht="21.75" hidden="false" customHeight="true" outlineLevel="0" collapsed="false">
      <c r="B7" s="399" t="s">
        <v>348</v>
      </c>
      <c r="C7" s="357" t="n">
        <v>3.2</v>
      </c>
      <c r="D7" s="357" t="n">
        <v>3</v>
      </c>
      <c r="E7" s="411" t="n">
        <f aca="false">(D7-C7)*100</f>
        <v>-20</v>
      </c>
      <c r="F7" s="407" t="s">
        <v>450</v>
      </c>
      <c r="N7" s="408" t="s">
        <v>452</v>
      </c>
      <c r="O7" s="391" t="s">
        <v>366</v>
      </c>
      <c r="P7" s="388" t="s">
        <v>317</v>
      </c>
      <c r="Q7" s="410"/>
      <c r="R7" s="410"/>
      <c r="S7" s="410"/>
      <c r="T7" s="410"/>
    </row>
    <row r="8" customFormat="false" ht="21.75" hidden="false" customHeight="true" outlineLevel="0" collapsed="false">
      <c r="B8" s="399" t="s">
        <v>349</v>
      </c>
      <c r="C8" s="357" t="n">
        <v>96.8</v>
      </c>
      <c r="D8" s="357" t="n">
        <v>97</v>
      </c>
      <c r="E8" s="412" t="n">
        <f aca="false">(D8-C8)*100</f>
        <v>20.0000000000003</v>
      </c>
      <c r="F8" s="407" t="s">
        <v>450</v>
      </c>
      <c r="N8" s="408" t="s">
        <v>453</v>
      </c>
      <c r="O8" s="391" t="s">
        <v>366</v>
      </c>
      <c r="P8" s="409" t="s">
        <v>317</v>
      </c>
      <c r="Q8" s="410"/>
      <c r="R8" s="410"/>
      <c r="S8" s="410"/>
      <c r="T8" s="410"/>
    </row>
    <row r="9" customFormat="false" ht="21.75" hidden="false" customHeight="true" outlineLevel="0" collapsed="false">
      <c r="B9" s="399" t="s">
        <v>420</v>
      </c>
      <c r="C9" s="365" t="n">
        <v>10</v>
      </c>
      <c r="D9" s="365" t="n">
        <v>10</v>
      </c>
      <c r="E9" s="372" t="n">
        <f aca="false">0</f>
        <v>0</v>
      </c>
      <c r="F9" s="407" t="s">
        <v>450</v>
      </c>
      <c r="N9" s="408" t="s">
        <v>454</v>
      </c>
      <c r="O9" s="391" t="s">
        <v>371</v>
      </c>
      <c r="P9" s="388" t="s">
        <v>317</v>
      </c>
      <c r="Q9" s="410"/>
      <c r="R9" s="410"/>
      <c r="S9" s="410"/>
      <c r="T9" s="410"/>
    </row>
    <row r="10" customFormat="false" ht="21.75" hidden="false" customHeight="true" outlineLevel="0" collapsed="false">
      <c r="B10" s="399" t="s">
        <v>403</v>
      </c>
      <c r="C10" s="413" t="n">
        <v>25</v>
      </c>
      <c r="D10" s="413" t="n">
        <v>25</v>
      </c>
      <c r="E10" s="410"/>
      <c r="F10" s="407" t="s">
        <v>450</v>
      </c>
      <c r="N10" s="414" t="s">
        <v>420</v>
      </c>
      <c r="O10" s="365" t="n">
        <v>10</v>
      </c>
      <c r="P10" s="410"/>
      <c r="Q10" s="410"/>
      <c r="R10" s="410"/>
      <c r="S10" s="410"/>
      <c r="T10" s="410"/>
    </row>
    <row r="11" customFormat="false" ht="21.75" hidden="false" customHeight="true" outlineLevel="0" collapsed="false">
      <c r="B11" s="399" t="s">
        <v>424</v>
      </c>
      <c r="C11" s="375" t="n">
        <f aca="false">'STRATS FUTURES'!C9*25</f>
        <v>250</v>
      </c>
      <c r="D11" s="375" t="n">
        <f aca="false">'STRATS FUTURES'!D9*25</f>
        <v>250</v>
      </c>
      <c r="E11" s="415" t="n">
        <f aca="false">D11-C11</f>
        <v>0</v>
      </c>
      <c r="F11" s="407" t="s">
        <v>450</v>
      </c>
      <c r="N11" s="387" t="s">
        <v>455</v>
      </c>
      <c r="O11" s="411" t="n">
        <f aca="false">IFERROR((FUTURES!D7-FUTURES!D6),0)</f>
        <v>-0.25</v>
      </c>
      <c r="P11" s="411" t="n">
        <f aca="false">IFERROR((FUTURES!D8-FUTURES!D7),0)</f>
        <v>-0.2</v>
      </c>
      <c r="Q11" s="410"/>
      <c r="R11" s="410"/>
      <c r="S11" s="410"/>
      <c r="T11" s="410"/>
    </row>
    <row r="12" customFormat="false" ht="21.75" hidden="false" customHeight="true" outlineLevel="0" collapsed="false">
      <c r="B12" s="399" t="s">
        <v>359</v>
      </c>
      <c r="C12" s="395" t="n">
        <f aca="false">C9*25</f>
        <v>250</v>
      </c>
      <c r="D12" s="395" t="n">
        <f aca="false">D9*25</f>
        <v>250</v>
      </c>
      <c r="E12" s="415" t="n">
        <f aca="false">D12-C12</f>
        <v>0</v>
      </c>
      <c r="F12" s="407" t="s">
        <v>450</v>
      </c>
      <c r="N12" s="414" t="s">
        <v>456</v>
      </c>
      <c r="O12" s="416" t="n">
        <f aca="false">IFERROR(FUTURES!D8-FUTURES!D7,0)</f>
        <v>-0.2</v>
      </c>
      <c r="P12" s="410"/>
      <c r="Q12" s="410"/>
      <c r="R12" s="410"/>
      <c r="S12" s="410"/>
      <c r="T12" s="410"/>
    </row>
    <row r="13" customFormat="false" ht="21.75" hidden="false" customHeight="true" outlineLevel="0" collapsed="false">
      <c r="B13" s="399" t="s">
        <v>426</v>
      </c>
      <c r="C13" s="402" t="n">
        <f aca="false">0</f>
        <v>0</v>
      </c>
      <c r="D13" s="402" t="n">
        <f aca="false">0</f>
        <v>0</v>
      </c>
      <c r="E13" s="415" t="n">
        <f aca="false">C13+D13</f>
        <v>0</v>
      </c>
      <c r="F13" s="407" t="s">
        <v>450</v>
      </c>
      <c r="N13" s="387" t="s">
        <v>457</v>
      </c>
      <c r="O13" s="417" t="n">
        <f aca="false">IFERROR(P11-P11,0)</f>
        <v>0</v>
      </c>
      <c r="P13" s="410"/>
      <c r="Q13" s="410"/>
      <c r="R13" s="410"/>
      <c r="S13" s="410"/>
      <c r="T13" s="410"/>
    </row>
    <row r="14" customFormat="false" ht="21.75" hidden="false" customHeight="true" outlineLevel="0" collapsed="false">
      <c r="B14" s="399" t="s">
        <v>458</v>
      </c>
      <c r="C14" s="396" t="n">
        <f aca="false">0</f>
        <v>0</v>
      </c>
      <c r="D14" s="396" t="n">
        <f aca="false">0</f>
        <v>0</v>
      </c>
      <c r="E14" s="415" t="n">
        <f aca="false">C14+D14</f>
        <v>0</v>
      </c>
      <c r="F14" s="407" t="s">
        <v>450</v>
      </c>
      <c r="N14" s="414" t="s">
        <v>459</v>
      </c>
      <c r="O14" s="415" t="n">
        <f aca="false">IFERROR(O10*25*2,0)</f>
        <v>500</v>
      </c>
      <c r="P14" s="410"/>
      <c r="Q14" s="410"/>
      <c r="R14" s="410"/>
      <c r="S14" s="410"/>
      <c r="T14" s="410"/>
    </row>
    <row r="15" customFormat="false" ht="21.75" hidden="false" customHeight="true" outlineLevel="0" collapsed="false">
      <c r="B15" s="399" t="s">
        <v>460</v>
      </c>
      <c r="C15" s="402" t="n">
        <f aca="false">0</f>
        <v>0</v>
      </c>
      <c r="D15" s="402" t="n">
        <f aca="false">0</f>
        <v>0</v>
      </c>
      <c r="E15" s="415" t="n">
        <f aca="false">C15+D15</f>
        <v>0</v>
      </c>
      <c r="F15" s="407" t="s">
        <v>450</v>
      </c>
      <c r="N15" s="387" t="s">
        <v>461</v>
      </c>
      <c r="O15" s="415" t="n">
        <f aca="false">IFERROR(O10*25*2,0)</f>
        <v>500</v>
      </c>
      <c r="P15" s="410"/>
      <c r="Q15" s="410"/>
      <c r="R15" s="410"/>
      <c r="S15" s="410"/>
      <c r="T15" s="410"/>
    </row>
    <row r="17" customFormat="false" ht="9.75" hidden="false" customHeight="true" outlineLevel="0" collapsed="false"/>
    <row r="18" customFormat="false" ht="25.5" hidden="false" customHeight="true" outlineLevel="0" collapsed="false">
      <c r="B18" s="56" t="s">
        <v>462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N18" s="108" t="s">
        <v>463</v>
      </c>
      <c r="O18" s="108"/>
      <c r="P18" s="108"/>
      <c r="Q18" s="108"/>
      <c r="R18" s="108"/>
      <c r="S18" s="108"/>
      <c r="T18" s="108"/>
    </row>
    <row r="19" customFormat="false" ht="25.5" hidden="false" customHeight="true" outlineLevel="0" collapsed="false">
      <c r="B19" s="10" t="s">
        <v>347</v>
      </c>
      <c r="C19" s="10" t="s">
        <v>419</v>
      </c>
      <c r="D19" s="10" t="s">
        <v>420</v>
      </c>
      <c r="E19" s="10" t="s">
        <v>464</v>
      </c>
      <c r="F19" s="10" t="s">
        <v>465</v>
      </c>
      <c r="G19" s="10" t="s">
        <v>466</v>
      </c>
      <c r="H19" s="10" t="s">
        <v>426</v>
      </c>
      <c r="N19" s="112" t="s">
        <v>467</v>
      </c>
      <c r="O19" s="112" t="s">
        <v>347</v>
      </c>
      <c r="P19" s="112" t="s">
        <v>468</v>
      </c>
      <c r="Q19" s="112" t="s">
        <v>464</v>
      </c>
      <c r="R19" s="112" t="s">
        <v>465</v>
      </c>
      <c r="S19" s="112" t="s">
        <v>466</v>
      </c>
      <c r="T19" s="112" t="s">
        <v>116</v>
      </c>
    </row>
    <row r="20" customFormat="false" ht="19.5" hidden="false" customHeight="true" outlineLevel="0" collapsed="false">
      <c r="B20" s="391" t="s">
        <v>366</v>
      </c>
      <c r="C20" s="391" t="s">
        <v>431</v>
      </c>
      <c r="D20" s="365" t="n">
        <v>10</v>
      </c>
      <c r="E20" s="357" t="n">
        <v>3.2</v>
      </c>
      <c r="F20" s="418" t="n">
        <f aca="false">IF(C20="LONG",-1,1)*D20*25</f>
        <v>-250</v>
      </c>
      <c r="G20" s="418" t="n">
        <f aca="false">IF(C20="LONG",-1,1)*D20*25</f>
        <v>-250</v>
      </c>
      <c r="H20" s="418" t="n">
        <f aca="false">IF(C20="LONG",1,-1)*D20*E20/100/360*1000000/100</f>
        <v>8.88888888888889</v>
      </c>
      <c r="N20" s="408" t="s">
        <v>469</v>
      </c>
      <c r="O20" s="391" t="s">
        <v>361</v>
      </c>
      <c r="P20" s="365" t="n">
        <v>10</v>
      </c>
      <c r="Q20" s="357" t="n">
        <v>3.45</v>
      </c>
      <c r="R20" s="419" t="n">
        <f aca="false">1*P20*25</f>
        <v>250</v>
      </c>
      <c r="S20" s="419" t="n">
        <f aca="false">1*P20*25</f>
        <v>250</v>
      </c>
      <c r="T20" s="420" t="s">
        <v>470</v>
      </c>
    </row>
    <row r="21" customFormat="false" ht="19.5" hidden="false" customHeight="true" outlineLevel="0" collapsed="false">
      <c r="B21" s="391" t="s">
        <v>371</v>
      </c>
      <c r="C21" s="391" t="s">
        <v>431</v>
      </c>
      <c r="D21" s="365" t="n">
        <v>10</v>
      </c>
      <c r="E21" s="357" t="n">
        <v>3</v>
      </c>
      <c r="F21" s="402" t="n">
        <f aca="false">IF(C21="LONG",-1,1)*D21*25</f>
        <v>-250</v>
      </c>
      <c r="G21" s="402" t="n">
        <f aca="false">IF(C21="LONG",-1,1)*D21*25</f>
        <v>-250</v>
      </c>
      <c r="H21" s="402" t="n">
        <f aca="false">IF(C21="LONG",1,-1)*D21*E21/100/360*1000000/100</f>
        <v>8.33333333333333</v>
      </c>
      <c r="N21" s="421" t="s">
        <v>471</v>
      </c>
      <c r="O21" s="391" t="s">
        <v>366</v>
      </c>
      <c r="P21" s="365" t="n">
        <v>20</v>
      </c>
      <c r="Q21" s="357" t="n">
        <v>3.2</v>
      </c>
      <c r="R21" s="402" t="n">
        <f aca="false">-1*P21*25</f>
        <v>-500</v>
      </c>
      <c r="S21" s="402" t="n">
        <f aca="false">-1*P21*25</f>
        <v>-500</v>
      </c>
      <c r="T21" s="374" t="s">
        <v>472</v>
      </c>
    </row>
    <row r="22" customFormat="false" ht="19.5" hidden="false" customHeight="true" outlineLevel="0" collapsed="false">
      <c r="B22" s="391" t="s">
        <v>376</v>
      </c>
      <c r="C22" s="391" t="s">
        <v>431</v>
      </c>
      <c r="D22" s="365" t="n">
        <v>10</v>
      </c>
      <c r="E22" s="357" t="n">
        <v>2.85</v>
      </c>
      <c r="F22" s="418" t="n">
        <f aca="false">IF(C22="LONG",-1,1)*D22*25</f>
        <v>-250</v>
      </c>
      <c r="G22" s="418" t="n">
        <f aca="false">IF(C22="LONG",-1,1)*D22*25</f>
        <v>-250</v>
      </c>
      <c r="H22" s="418" t="n">
        <f aca="false">IF(C22="LONG",1,-1)*D22*E22/100/360*1000000/100</f>
        <v>7.91666666666667</v>
      </c>
      <c r="N22" s="408" t="s">
        <v>473</v>
      </c>
      <c r="O22" s="391" t="s">
        <v>371</v>
      </c>
      <c r="P22" s="365" t="n">
        <v>20</v>
      </c>
      <c r="Q22" s="357" t="n">
        <v>3</v>
      </c>
      <c r="R22" s="419" t="n">
        <f aca="false">-1*P22*25</f>
        <v>-500</v>
      </c>
      <c r="S22" s="419" t="n">
        <f aca="false">-1*P22*25</f>
        <v>-500</v>
      </c>
      <c r="T22" s="420" t="s">
        <v>472</v>
      </c>
    </row>
    <row r="23" customFormat="false" ht="19.5" hidden="false" customHeight="true" outlineLevel="0" collapsed="false">
      <c r="B23" s="391" t="s">
        <v>381</v>
      </c>
      <c r="C23" s="391" t="s">
        <v>431</v>
      </c>
      <c r="D23" s="365" t="n">
        <v>10</v>
      </c>
      <c r="E23" s="357" t="n">
        <v>2.72</v>
      </c>
      <c r="F23" s="402" t="n">
        <f aca="false">IF(C23="LONG",-1,1)*D23*25</f>
        <v>-250</v>
      </c>
      <c r="G23" s="402" t="n">
        <f aca="false">IF(C23="LONG",-1,1)*D23*25</f>
        <v>-250</v>
      </c>
      <c r="H23" s="402" t="n">
        <f aca="false">IF(C23="LONG",1,-1)*D23*E23/100/360*1000000/100</f>
        <v>7.55555555555556</v>
      </c>
      <c r="N23" s="421" t="s">
        <v>474</v>
      </c>
      <c r="O23" s="391" t="s">
        <v>376</v>
      </c>
      <c r="P23" s="365" t="n">
        <v>10</v>
      </c>
      <c r="Q23" s="357" t="n">
        <v>2.85</v>
      </c>
      <c r="R23" s="402" t="n">
        <f aca="false">1*P23*25</f>
        <v>250</v>
      </c>
      <c r="S23" s="402" t="n">
        <f aca="false">1*P23*25</f>
        <v>250</v>
      </c>
      <c r="T23" s="374" t="s">
        <v>470</v>
      </c>
    </row>
    <row r="24" customFormat="false" ht="24" hidden="false" customHeight="true" outlineLevel="0" collapsed="false">
      <c r="B24" s="391" t="s">
        <v>386</v>
      </c>
      <c r="C24" s="391" t="s">
        <v>431</v>
      </c>
      <c r="D24" s="365" t="n">
        <v>10</v>
      </c>
      <c r="E24" s="357" t="n">
        <v>2.65</v>
      </c>
      <c r="F24" s="418" t="n">
        <f aca="false">IF(C24="LONG",-1,1)*D24*25</f>
        <v>-250</v>
      </c>
      <c r="G24" s="418" t="n">
        <f aca="false">IF(C24="LONG",-1,1)*D24*25</f>
        <v>-250</v>
      </c>
      <c r="H24" s="418" t="n">
        <f aca="false">IF(C24="LONG",1,-1)*D24*E24/100/360*1000000/100</f>
        <v>7.36111111111111</v>
      </c>
      <c r="N24" s="422" t="s">
        <v>475</v>
      </c>
      <c r="O24" s="422"/>
      <c r="P24" s="422"/>
      <c r="Q24" s="422"/>
      <c r="R24" s="404" t="n">
        <f aca="false">SUM(R20:R23)</f>
        <v>-500</v>
      </c>
      <c r="S24" s="404" t="n">
        <f aca="false">SUM(S20:S23)</f>
        <v>-500</v>
      </c>
      <c r="T24" s="423" t="s">
        <v>476</v>
      </c>
    </row>
    <row r="25" customFormat="false" ht="19.5" hidden="false" customHeight="true" outlineLevel="0" collapsed="false">
      <c r="B25" s="391" t="s">
        <v>388</v>
      </c>
      <c r="C25" s="391" t="s">
        <v>431</v>
      </c>
      <c r="D25" s="365" t="n">
        <v>10</v>
      </c>
      <c r="E25" s="357" t="n">
        <v>2.6</v>
      </c>
      <c r="F25" s="402" t="n">
        <f aca="false">IF(C25="LONG",-1,1)*D25*25</f>
        <v>-250</v>
      </c>
      <c r="G25" s="402" t="n">
        <f aca="false">IF(C25="LONG",-1,1)*D25*25</f>
        <v>-250</v>
      </c>
      <c r="H25" s="402" t="n">
        <f aca="false">IF(C25="LONG",1,-1)*D25*E25/100/360*1000000/100</f>
        <v>7.22222222222222</v>
      </c>
    </row>
    <row r="26" customFormat="false" ht="24" hidden="false" customHeight="true" outlineLevel="0" collapsed="false">
      <c r="B26" s="424" t="s">
        <v>477</v>
      </c>
      <c r="C26" s="424"/>
      <c r="D26" s="424"/>
      <c r="E26" s="424"/>
      <c r="F26" s="404" t="n">
        <f aca="false">SUM(F20:F25)</f>
        <v>-1500</v>
      </c>
      <c r="G26" s="404" t="n">
        <f aca="false">SUM(G20:G25)</f>
        <v>-1500</v>
      </c>
      <c r="H26" s="404" t="n">
        <f aca="false">SUM(H20:H25)</f>
        <v>47.2777777777778</v>
      </c>
    </row>
    <row r="28" customFormat="false" ht="9.75" hidden="false" customHeight="true" outlineLevel="0" collapsed="false"/>
    <row r="29" customFormat="false" ht="25.5" hidden="false" customHeight="true" outlineLevel="0" collapsed="false">
      <c r="B29" s="5" t="s">
        <v>478</v>
      </c>
      <c r="C29" s="5"/>
      <c r="D29" s="5"/>
      <c r="E29" s="5"/>
      <c r="F29" s="5"/>
      <c r="G29" s="5"/>
      <c r="H29" s="5"/>
      <c r="I29" s="5"/>
      <c r="J29" s="5"/>
      <c r="K29" s="5"/>
      <c r="L29" s="5"/>
      <c r="N29" s="425" t="s">
        <v>479</v>
      </c>
      <c r="O29" s="425"/>
      <c r="P29" s="425"/>
      <c r="Q29" s="425"/>
      <c r="R29" s="425"/>
      <c r="S29" s="425"/>
      <c r="T29" s="425"/>
    </row>
    <row r="30" customFormat="false" ht="25.5" hidden="false" customHeight="true" outlineLevel="0" collapsed="false">
      <c r="B30" s="81" t="s">
        <v>441</v>
      </c>
      <c r="C30" s="81" t="s">
        <v>480</v>
      </c>
      <c r="D30" s="81" t="s">
        <v>481</v>
      </c>
      <c r="E30" s="81" t="s">
        <v>482</v>
      </c>
      <c r="F30" s="81" t="s">
        <v>445</v>
      </c>
      <c r="N30" s="426" t="s">
        <v>441</v>
      </c>
      <c r="O30" s="426" t="s">
        <v>483</v>
      </c>
      <c r="P30" s="426" t="s">
        <v>484</v>
      </c>
      <c r="Q30" s="426" t="s">
        <v>485</v>
      </c>
      <c r="R30" s="426" t="s">
        <v>445</v>
      </c>
    </row>
    <row r="31" customFormat="false" ht="21.75" hidden="false" customHeight="true" outlineLevel="0" collapsed="false">
      <c r="B31" s="427" t="s">
        <v>486</v>
      </c>
      <c r="C31" s="391" t="s">
        <v>28</v>
      </c>
      <c r="D31" s="391" t="s">
        <v>28</v>
      </c>
      <c r="E31" s="428" t="n">
        <f aca="false">0</f>
        <v>0</v>
      </c>
      <c r="F31" s="380" t="s">
        <v>487</v>
      </c>
      <c r="N31" s="429" t="s">
        <v>488</v>
      </c>
      <c r="O31" s="391" t="s">
        <v>489</v>
      </c>
      <c r="P31" s="410"/>
      <c r="Q31" s="410"/>
      <c r="R31" s="410"/>
      <c r="S31" s="410"/>
      <c r="T31" s="410"/>
    </row>
    <row r="32" customFormat="false" ht="21.75" hidden="false" customHeight="true" outlineLevel="0" collapsed="false">
      <c r="B32" s="427" t="s">
        <v>490</v>
      </c>
      <c r="C32" s="357" t="n">
        <v>2.68</v>
      </c>
      <c r="D32" s="430" t="n">
        <f aca="false">COURBE!G12</f>
        <v>0</v>
      </c>
      <c r="E32" s="431" t="n">
        <f aca="false">IFERROR((D32-C32/100)*10000,0)</f>
        <v>-268</v>
      </c>
      <c r="F32" s="388" t="s">
        <v>491</v>
      </c>
      <c r="N32" s="429" t="s">
        <v>492</v>
      </c>
      <c r="O32" s="365" t="n">
        <v>100</v>
      </c>
      <c r="P32" s="410"/>
      <c r="Q32" s="410"/>
      <c r="R32" s="410"/>
      <c r="S32" s="410"/>
      <c r="T32" s="410"/>
    </row>
    <row r="33" customFormat="false" ht="21.75" hidden="false" customHeight="true" outlineLevel="0" collapsed="false">
      <c r="B33" s="427" t="s">
        <v>493</v>
      </c>
      <c r="C33" s="365" t="n">
        <v>100</v>
      </c>
      <c r="D33" s="365" t="n">
        <v>100</v>
      </c>
      <c r="E33" s="410"/>
      <c r="F33" s="380" t="s">
        <v>317</v>
      </c>
      <c r="N33" s="429" t="s">
        <v>494</v>
      </c>
      <c r="O33" s="432" t="n">
        <f aca="false">P31*1000000*10/10000</f>
        <v>0</v>
      </c>
      <c r="P33" s="410"/>
      <c r="Q33" s="410"/>
      <c r="R33" s="410"/>
      <c r="S33" s="410"/>
      <c r="T33" s="410"/>
    </row>
    <row r="34" customFormat="false" ht="21.75" hidden="false" customHeight="true" outlineLevel="0" collapsed="false">
      <c r="B34" s="427" t="s">
        <v>465</v>
      </c>
      <c r="C34" s="375" t="n">
        <f aca="false">C33*25</f>
        <v>2500</v>
      </c>
      <c r="D34" s="375" t="n">
        <f aca="false">D33*1000000*5/10000</f>
        <v>50000</v>
      </c>
      <c r="E34" s="415" t="n">
        <f aca="false">D34-C34</f>
        <v>47500</v>
      </c>
      <c r="F34" s="388" t="s">
        <v>495</v>
      </c>
      <c r="N34" s="433" t="s">
        <v>496</v>
      </c>
      <c r="O34" s="391" t="s">
        <v>408</v>
      </c>
      <c r="P34" s="374" t="s">
        <v>409</v>
      </c>
      <c r="Q34" s="410"/>
      <c r="R34" s="410"/>
      <c r="S34" s="410"/>
      <c r="T34" s="410"/>
    </row>
    <row r="35" customFormat="false" ht="21.75" hidden="false" customHeight="true" outlineLevel="0" collapsed="false">
      <c r="B35" s="427" t="s">
        <v>497</v>
      </c>
      <c r="C35" s="434" t="n">
        <f aca="false">C32</f>
        <v>2.68</v>
      </c>
      <c r="D35" s="435" t="n">
        <f aca="false">D32</f>
        <v>0</v>
      </c>
      <c r="E35" s="417" t="n">
        <f aca="false">IFERROR((D35-C35/100)*10000,0)</f>
        <v>-268</v>
      </c>
      <c r="F35" s="380" t="s">
        <v>491</v>
      </c>
      <c r="N35" s="429" t="s">
        <v>498</v>
      </c>
      <c r="O35" s="432" t="n">
        <f aca="false">FUTURES!G22</f>
        <v>88</v>
      </c>
      <c r="P35" s="410"/>
      <c r="Q35" s="410"/>
      <c r="R35" s="410"/>
      <c r="S35" s="410"/>
      <c r="T35" s="410"/>
    </row>
    <row r="36" customFormat="false" ht="21.75" hidden="false" customHeight="true" outlineLevel="0" collapsed="false">
      <c r="B36" s="427" t="s">
        <v>499</v>
      </c>
      <c r="C36" s="375" t="n">
        <f aca="false">C34</f>
        <v>2500</v>
      </c>
      <c r="D36" s="375" t="n">
        <f aca="false">D34</f>
        <v>50000</v>
      </c>
      <c r="E36" s="415" t="n">
        <f aca="false">C36-D36</f>
        <v>-47500</v>
      </c>
      <c r="F36" s="388" t="s">
        <v>495</v>
      </c>
      <c r="N36" s="433" t="s">
        <v>500</v>
      </c>
      <c r="O36" s="436" t="n">
        <f aca="false">IFERROR(ROUND(ABS(P33)/P35,0),0)</f>
        <v>0</v>
      </c>
      <c r="P36" s="410"/>
      <c r="Q36" s="410"/>
      <c r="R36" s="410"/>
      <c r="S36" s="410"/>
      <c r="T36" s="410"/>
    </row>
    <row r="37" customFormat="false" ht="21.75" hidden="false" customHeight="true" outlineLevel="0" collapsed="false">
      <c r="B37" s="427" t="s">
        <v>501</v>
      </c>
      <c r="C37" s="437" t="n">
        <f aca="false">C33*2.68/100/360*1000000/100</f>
        <v>74.4444444444444</v>
      </c>
      <c r="D37" s="437" t="n">
        <f aca="false">-D33*2.68/100/365*1000000</f>
        <v>-7342.46575342466</v>
      </c>
      <c r="E37" s="415" t="n">
        <f aca="false">C37+D37</f>
        <v>-7268.02130898021</v>
      </c>
      <c r="F37" s="410"/>
      <c r="N37" s="429" t="s">
        <v>502</v>
      </c>
      <c r="O37" s="432" t="n">
        <f aca="false">P36*P35</f>
        <v>0</v>
      </c>
      <c r="P37" s="410"/>
      <c r="Q37" s="410"/>
      <c r="R37" s="410"/>
      <c r="S37" s="410"/>
      <c r="T37" s="410"/>
    </row>
    <row r="38" customFormat="false" ht="21.75" hidden="false" customHeight="true" outlineLevel="0" collapsed="false">
      <c r="B38" s="427" t="s">
        <v>503</v>
      </c>
      <c r="C38" s="438" t="str">
        <f aca="false">IF(E35&gt;5,"PAY TED",IF(E35&lt;-5,"RECV TED","NEUTRE"))</f>
        <v>RECV TED</v>
      </c>
      <c r="D38" s="438"/>
      <c r="E38" s="438"/>
      <c r="F38" s="410"/>
      <c r="N38" s="433" t="s">
        <v>504</v>
      </c>
      <c r="O38" s="432" t="n">
        <f aca="false">ABS(P33)-P37</f>
        <v>0</v>
      </c>
      <c r="P38" s="410"/>
      <c r="Q38" s="410"/>
      <c r="R38" s="410"/>
      <c r="S38" s="410"/>
      <c r="T38" s="410"/>
    </row>
    <row r="39" customFormat="false" ht="21.75" hidden="false" customHeight="true" outlineLevel="0" collapsed="false">
      <c r="N39" s="429" t="s">
        <v>505</v>
      </c>
      <c r="O39" s="439" t="n">
        <f aca="false">IFERROR(P37/ABS(P33)*100,0)</f>
        <v>0</v>
      </c>
      <c r="P39" s="410"/>
      <c r="Q39" s="410"/>
      <c r="R39" s="410"/>
      <c r="S39" s="410"/>
      <c r="T39" s="410"/>
    </row>
    <row r="40" customFormat="false" ht="21.75" hidden="false" customHeight="true" outlineLevel="0" collapsed="false">
      <c r="N40" s="433" t="s">
        <v>506</v>
      </c>
      <c r="O40" s="440" t="str">
        <f aca="false">IF(P39&gt;95,"✓ Excellent",IF(P39&gt;85,"✓ Bon","⚠ Imparfait"))</f>
        <v>⚠ Imparfait</v>
      </c>
      <c r="P40" s="410"/>
      <c r="Q40" s="410"/>
      <c r="R40" s="410"/>
      <c r="S40" s="410"/>
      <c r="T40" s="410"/>
    </row>
    <row r="42" customFormat="false" ht="9.75" hidden="false" customHeight="true" outlineLevel="0" collapsed="false"/>
    <row r="43" customFormat="false" ht="25.5" hidden="false" customHeight="true" outlineLevel="0" collapsed="false">
      <c r="B43" s="441" t="s">
        <v>507</v>
      </c>
      <c r="C43" s="441"/>
      <c r="D43" s="441"/>
      <c r="E43" s="441"/>
      <c r="F43" s="441"/>
      <c r="G43" s="441"/>
      <c r="H43" s="441"/>
      <c r="I43" s="441"/>
      <c r="J43" s="441"/>
      <c r="K43" s="441"/>
      <c r="L43" s="441"/>
      <c r="N43" s="56" t="s">
        <v>508</v>
      </c>
      <c r="O43" s="56"/>
      <c r="P43" s="56"/>
      <c r="Q43" s="56"/>
      <c r="R43" s="56"/>
      <c r="S43" s="56"/>
      <c r="T43" s="56"/>
    </row>
    <row r="44" customFormat="false" ht="25.5" hidden="false" customHeight="true" outlineLevel="0" collapsed="false">
      <c r="B44" s="442" t="s">
        <v>441</v>
      </c>
      <c r="C44" s="442" t="s">
        <v>509</v>
      </c>
      <c r="D44" s="442" t="s">
        <v>510</v>
      </c>
      <c r="E44" s="442" t="s">
        <v>511</v>
      </c>
      <c r="F44" s="442" t="s">
        <v>445</v>
      </c>
      <c r="N44" s="10" t="s">
        <v>441</v>
      </c>
      <c r="O44" s="10" t="s">
        <v>484</v>
      </c>
      <c r="P44" s="10" t="s">
        <v>483</v>
      </c>
      <c r="Q44" s="10" t="s">
        <v>512</v>
      </c>
      <c r="R44" s="10" t="s">
        <v>445</v>
      </c>
    </row>
    <row r="45" customFormat="false" ht="21.75" hidden="false" customHeight="true" outlineLevel="0" collapsed="false">
      <c r="B45" s="443" t="s">
        <v>347</v>
      </c>
      <c r="C45" s="391" t="s">
        <v>361</v>
      </c>
      <c r="D45" s="391" t="s">
        <v>366</v>
      </c>
      <c r="E45" s="444" t="s">
        <v>513</v>
      </c>
      <c r="F45" s="410"/>
      <c r="N45" s="445" t="s">
        <v>486</v>
      </c>
      <c r="O45" s="391" t="s">
        <v>28</v>
      </c>
      <c r="P45" s="391" t="s">
        <v>28</v>
      </c>
      <c r="Q45" s="410"/>
      <c r="R45" s="410"/>
      <c r="S45" s="410"/>
      <c r="T45" s="410"/>
    </row>
    <row r="46" customFormat="false" ht="21.75" hidden="false" customHeight="true" outlineLevel="0" collapsed="false">
      <c r="B46" s="387" t="s">
        <v>348</v>
      </c>
      <c r="C46" s="357" t="n">
        <v>3.45</v>
      </c>
      <c r="D46" s="357" t="n">
        <v>3.2</v>
      </c>
      <c r="E46" s="431" t="n">
        <f aca="false">(D46-C46)*100</f>
        <v>-25</v>
      </c>
      <c r="F46" s="410"/>
      <c r="N46" s="387" t="s">
        <v>514</v>
      </c>
      <c r="O46" s="357" t="n">
        <v>2.68</v>
      </c>
      <c r="P46" s="430" t="n">
        <f aca="false">COURBE!G12</f>
        <v>0</v>
      </c>
      <c r="Q46" s="410"/>
      <c r="R46" s="410"/>
      <c r="S46" s="410"/>
      <c r="T46" s="410"/>
    </row>
    <row r="47" customFormat="false" ht="21.75" hidden="false" customHeight="true" outlineLevel="0" collapsed="false">
      <c r="B47" s="446" t="s">
        <v>349</v>
      </c>
      <c r="C47" s="447" t="n">
        <f aca="false">100-C46</f>
        <v>96.55</v>
      </c>
      <c r="D47" s="447" t="n">
        <f aca="false">100-D46</f>
        <v>96.8</v>
      </c>
      <c r="E47" s="448" t="n">
        <f aca="false">(D47-C47)*100</f>
        <v>25</v>
      </c>
      <c r="F47" s="410"/>
      <c r="N47" s="449" t="s">
        <v>515</v>
      </c>
      <c r="O47" s="450" t="n">
        <f aca="false">IFERROR((Q46-P46/100)*10000,0)</f>
        <v>0</v>
      </c>
      <c r="P47" s="410"/>
      <c r="Q47" s="410"/>
      <c r="R47" s="410"/>
      <c r="S47" s="410"/>
      <c r="T47" s="410"/>
    </row>
    <row r="48" customFormat="false" ht="21.75" hidden="false" customHeight="true" outlineLevel="0" collapsed="false">
      <c r="B48" s="387" t="s">
        <v>516</v>
      </c>
      <c r="C48" s="451" t="n">
        <f aca="false">IFERROR((C47-D47)*100,0)</f>
        <v>-25</v>
      </c>
      <c r="D48" s="410"/>
      <c r="E48" s="410"/>
      <c r="F48" s="388" t="s">
        <v>517</v>
      </c>
      <c r="N48" s="433" t="s">
        <v>518</v>
      </c>
      <c r="O48" s="417" t="n">
        <f aca="false">IFERROR((P46/100-Q46)*10000,0)</f>
        <v>0</v>
      </c>
      <c r="P48" s="410"/>
      <c r="Q48" s="410"/>
      <c r="R48" s="410"/>
      <c r="S48" s="410"/>
      <c r="T48" s="410"/>
    </row>
    <row r="49" customFormat="false" ht="21.75" hidden="false" customHeight="true" outlineLevel="0" collapsed="false">
      <c r="B49" s="446" t="s">
        <v>519</v>
      </c>
      <c r="C49" s="415" t="n">
        <f aca="false">C48*25</f>
        <v>-625</v>
      </c>
      <c r="D49" s="410"/>
      <c r="E49" s="410"/>
      <c r="F49" s="452" t="s">
        <v>495</v>
      </c>
      <c r="N49" s="449" t="s">
        <v>520</v>
      </c>
      <c r="O49" s="453" t="n">
        <v>10</v>
      </c>
      <c r="P49" s="410"/>
      <c r="Q49" s="410"/>
      <c r="R49" s="410"/>
      <c r="S49" s="410"/>
      <c r="T49" s="410"/>
    </row>
    <row r="50" customFormat="false" ht="21.75" hidden="false" customHeight="true" outlineLevel="0" collapsed="false">
      <c r="B50" s="387" t="s">
        <v>521</v>
      </c>
      <c r="C50" s="365" t="n">
        <v>30</v>
      </c>
      <c r="D50" s="410"/>
      <c r="E50" s="410"/>
      <c r="F50" s="388" t="s">
        <v>522</v>
      </c>
      <c r="N50" s="387" t="s">
        <v>523</v>
      </c>
      <c r="O50" s="417" t="n">
        <f aca="false">P48-P49</f>
        <v>0</v>
      </c>
      <c r="P50" s="410"/>
      <c r="Q50" s="410"/>
      <c r="R50" s="410"/>
      <c r="S50" s="410"/>
      <c r="T50" s="410"/>
    </row>
    <row r="51" customFormat="false" ht="21.75" hidden="false" customHeight="true" outlineLevel="0" collapsed="false">
      <c r="B51" s="446" t="s">
        <v>524</v>
      </c>
      <c r="C51" s="454" t="n">
        <f aca="false">IFERROR(C49/C50,0)</f>
        <v>-20.8333333333333</v>
      </c>
      <c r="D51" s="410"/>
      <c r="E51" s="410"/>
      <c r="F51" s="452" t="s">
        <v>525</v>
      </c>
      <c r="N51" s="445" t="s">
        <v>503</v>
      </c>
      <c r="O51" s="152" t="str">
        <f aca="false">IF(P50&gt;2,"PAY FUT/RCV IRS",IF(P50&lt;-2,"RCV FUT/PAY IRS","NEUTRE"))</f>
        <v>NEUTRE</v>
      </c>
      <c r="P51" s="410"/>
      <c r="Q51" s="410"/>
      <c r="R51" s="410"/>
      <c r="S51" s="410"/>
      <c r="T51" s="410"/>
    </row>
    <row r="52" customFormat="false" ht="21.75" hidden="false" customHeight="true" outlineLevel="0" collapsed="false">
      <c r="B52" s="387" t="s">
        <v>526</v>
      </c>
      <c r="C52" s="365" t="n">
        <v>0</v>
      </c>
      <c r="D52" s="374" t="s">
        <v>527</v>
      </c>
      <c r="E52" s="410"/>
      <c r="F52" s="410"/>
      <c r="N52" s="387" t="s">
        <v>528</v>
      </c>
      <c r="O52" s="432" t="n">
        <f aca="false">100*1000000*5/10000</f>
        <v>50000</v>
      </c>
      <c r="P52" s="410"/>
      <c r="Q52" s="410"/>
      <c r="R52" s="410"/>
      <c r="S52" s="410"/>
      <c r="T52" s="410"/>
    </row>
    <row r="53" customFormat="false" ht="21.75" hidden="false" customHeight="true" outlineLevel="0" collapsed="false">
      <c r="N53" s="449" t="s">
        <v>529</v>
      </c>
      <c r="O53" s="415" t="n">
        <f aca="false">IFERROR(P52*ABS(P50)/100,0)</f>
        <v>0</v>
      </c>
      <c r="P53" s="410"/>
      <c r="Q53" s="410"/>
      <c r="R53" s="410"/>
      <c r="S53" s="410"/>
      <c r="T53" s="410"/>
    </row>
    <row r="55" customFormat="false" ht="9.75" hidden="false" customHeight="true" outlineLevel="0" collapsed="false"/>
    <row r="56" customFormat="false" ht="30" hidden="false" customHeight="true" outlineLevel="0" collapsed="false">
      <c r="B56" s="455" t="s">
        <v>530</v>
      </c>
      <c r="C56" s="455"/>
      <c r="D56" s="455"/>
      <c r="E56" s="455"/>
      <c r="F56" s="455"/>
      <c r="G56" s="455"/>
      <c r="H56" s="455"/>
      <c r="I56" s="455"/>
      <c r="J56" s="455"/>
      <c r="K56" s="455"/>
      <c r="L56" s="455"/>
      <c r="M56" s="455"/>
      <c r="N56" s="455"/>
      <c r="O56" s="455"/>
      <c r="P56" s="455"/>
      <c r="Q56" s="455"/>
      <c r="R56" s="455"/>
      <c r="S56" s="455"/>
      <c r="T56" s="455"/>
    </row>
    <row r="57" customFormat="false" ht="25.5" hidden="false" customHeight="true" outlineLevel="0" collapsed="false">
      <c r="B57" s="69" t="s">
        <v>258</v>
      </c>
      <c r="C57" s="69" t="s">
        <v>42</v>
      </c>
      <c r="D57" s="69" t="s">
        <v>43</v>
      </c>
      <c r="E57" s="69" t="s">
        <v>531</v>
      </c>
      <c r="F57" s="69" t="s">
        <v>153</v>
      </c>
      <c r="G57" s="69" t="s">
        <v>532</v>
      </c>
      <c r="H57" s="69" t="s">
        <v>533</v>
      </c>
      <c r="I57" s="69" t="s">
        <v>116</v>
      </c>
    </row>
    <row r="58" customFormat="false" ht="21.75" hidden="false" customHeight="true" outlineLevel="0" collapsed="false">
      <c r="B58" s="456" t="s">
        <v>481</v>
      </c>
      <c r="C58" s="457" t="n">
        <f aca="false">IFERROR(SUMIF(BOOK!F8:F107,"ESTER",BOOK!Q8:Q107),0)</f>
        <v>125000</v>
      </c>
      <c r="D58" s="458" t="n">
        <f aca="false">IFERROR(SUM(BOOK!V8:V107)*0.5,0)</f>
        <v>0</v>
      </c>
      <c r="E58" s="458" t="n">
        <f aca="false">IFERROR(SUM(BOOK!U8:U107)/365*0.5,0)</f>
        <v>-50171.2328767123</v>
      </c>
      <c r="F58" s="437" t="n">
        <f aca="false">ABS(C58)*PARAMS!C5/10000*2.326</f>
        <v>1744.5</v>
      </c>
      <c r="G58" s="459" t="n">
        <f aca="false">COUNTA(BOOK!B8:B107)</f>
        <v>3</v>
      </c>
      <c r="H58" s="460" t="n">
        <f aca="false">IFERROR(ABS(C58)/(ABS(C58)+ABS(C59)+ABS(C60)+ABS(C61)),0)</f>
        <v>0.826774257556717</v>
      </c>
      <c r="I58" s="410"/>
    </row>
    <row r="59" customFormat="false" ht="21.75" hidden="false" customHeight="true" outlineLevel="0" collapsed="false">
      <c r="B59" s="461" t="s">
        <v>534</v>
      </c>
      <c r="C59" s="457" t="n">
        <f aca="false">IFERROR(SUMIF(BOOK!F8:F107,"EURIB6M",BOOK!Q8:Q107),0)</f>
        <v>25000</v>
      </c>
      <c r="D59" s="462" t="n">
        <f aca="false">IFERROR(SUM(BOOK!V8:V107)*0.5,0)</f>
        <v>0</v>
      </c>
      <c r="E59" s="462" t="n">
        <f aca="false">IFERROR(SUM(BOOK!U8:U107)/365*0.5,0)</f>
        <v>-50171.2328767123</v>
      </c>
      <c r="F59" s="463" t="n">
        <f aca="false">ABS(C59)*PARAMS!C5/10000*2.326</f>
        <v>348.9</v>
      </c>
      <c r="G59" s="464" t="n">
        <f aca="false">COUNTA(BOOK!B8:B107)</f>
        <v>3</v>
      </c>
      <c r="H59" s="465" t="n">
        <f aca="false">IFERROR(ABS(C59)/(ABS(C58)+ABS(C59)+ABS(C60)+ABS(C61)),0)</f>
        <v>0.165354851511343</v>
      </c>
      <c r="I59" s="410"/>
    </row>
    <row r="60" customFormat="false" ht="21.75" hidden="false" customHeight="true" outlineLevel="0" collapsed="false">
      <c r="B60" s="466" t="s">
        <v>480</v>
      </c>
      <c r="C60" s="457" t="n">
        <f aca="false">IFERROR(SUMIF(FUTURES!D31:D80,"ER3M",FUTURES!K31:K80),0)</f>
        <v>750</v>
      </c>
      <c r="D60" s="396" t="n">
        <f aca="false">IFERROR(SUMIF(FUTURES!D31:D80,"ER3M",FUTURES!N31:N80),0)</f>
        <v>0</v>
      </c>
      <c r="E60" s="396" t="n">
        <f aca="false">IFERROR(SUMIF(FUTURES!D31:D80,"ER3M",FUTURES!M31:M80),0)</f>
        <v>23.0277777777778</v>
      </c>
      <c r="F60" s="395" t="n">
        <f aca="false">ABS(C60)*PARAMS!C5/10000*2.326</f>
        <v>10.467</v>
      </c>
      <c r="G60" s="361" t="n">
        <f aca="false">COUNTA(FUTURES!B31:B80)</f>
        <v>3</v>
      </c>
      <c r="H60" s="467" t="n">
        <f aca="false">IFERROR(ABS(C60)/(ABS(C58)+ABS(C59)+ABS(C60)+ABS(C61)),0)</f>
        <v>0.0049606455453403</v>
      </c>
      <c r="I60" s="410"/>
    </row>
    <row r="61" customFormat="false" ht="21.75" hidden="false" customHeight="true" outlineLevel="0" collapsed="false">
      <c r="B61" s="468" t="s">
        <v>535</v>
      </c>
      <c r="C61" s="457" t="n">
        <f aca="false">IFERROR(SUMIF(FUTURES!D31:D80,"BOND",FUTURES!K31:K80),0)</f>
        <v>-440</v>
      </c>
      <c r="D61" s="469" t="n">
        <f aca="false">IFERROR(SUMIF(FUTURES!D31:D80,"BOND",FUTURES!N31:N80),0)</f>
        <v>0</v>
      </c>
      <c r="E61" s="469" t="n">
        <f aca="false">IFERROR(SUMIF(FUTURES!D31:D80,"BOND",FUTURES!M31:M80),0)</f>
        <v>-27.3972602739726</v>
      </c>
      <c r="F61" s="470" t="n">
        <f aca="false">ABS(C61)*PARAMS!C5/10000*2.326</f>
        <v>6.14064</v>
      </c>
      <c r="G61" s="471" t="n">
        <f aca="false">COUNTA(FUTURES!B31:B80)</f>
        <v>3</v>
      </c>
      <c r="H61" s="472" t="n">
        <f aca="false">IFERROR(ABS(C61)/(ABS(C58)+ABS(C59)+ABS(C60)+ABS(C61)),0)</f>
        <v>0.00291024538659964</v>
      </c>
      <c r="I61" s="410"/>
    </row>
    <row r="62" customFormat="false" ht="27.75" hidden="false" customHeight="true" outlineLevel="0" collapsed="false">
      <c r="B62" s="473" t="s">
        <v>536</v>
      </c>
      <c r="C62" s="404" t="n">
        <f aca="false">SUM(C58,C59,C60,C61)</f>
        <v>150310</v>
      </c>
      <c r="D62" s="404" t="n">
        <f aca="false">SUM(D58:D61)</f>
        <v>0</v>
      </c>
      <c r="E62" s="404" t="n">
        <f aca="false">SUM(E58:E61)</f>
        <v>-100346.835235921</v>
      </c>
      <c r="F62" s="404" t="n">
        <f aca="false">ABS(C62)*PARAMS!C5/10000*2.326</f>
        <v>2097.72636</v>
      </c>
    </row>
  </sheetData>
  <mergeCells count="14">
    <mergeCell ref="A1:T1"/>
    <mergeCell ref="A2:T2"/>
    <mergeCell ref="B4:L4"/>
    <mergeCell ref="N4:T4"/>
    <mergeCell ref="B18:L18"/>
    <mergeCell ref="N18:T18"/>
    <mergeCell ref="N24:Q24"/>
    <mergeCell ref="B26:E26"/>
    <mergeCell ref="B29:L29"/>
    <mergeCell ref="N29:T29"/>
    <mergeCell ref="C38:E38"/>
    <mergeCell ref="B43:L43"/>
    <mergeCell ref="N43:T43"/>
    <mergeCell ref="B56:T56"/>
  </mergeCells>
  <conditionalFormatting sqref="C58:C62">
    <cfRule type="colorScale" priority="2">
      <colorScale>
        <cfvo type="min" val="0"/>
        <cfvo type="num" val="0"/>
        <cfvo type="max" val="0"/>
        <color rgb="FFE53935"/>
        <color rgb="FFFFFFFF"/>
        <color rgb="FF1B5E20"/>
      </colorScale>
    </cfRule>
  </conditionalFormatting>
  <dataValidations count="6">
    <dataValidation allowBlank="false" errorStyle="stop" operator="between" showDropDown="false" showErrorMessage="false" showInputMessage="false" sqref="C20" type="list">
      <formula1>"LONG,SHORT"</formula1>
      <formula2>0</formula2>
    </dataValidation>
    <dataValidation allowBlank="false" errorStyle="stop" operator="between" showDropDown="false" showErrorMessage="false" showInputMessage="false" sqref="C21" type="list">
      <formula1>"LONG,SHORT"</formula1>
      <formula2>0</formula2>
    </dataValidation>
    <dataValidation allowBlank="false" errorStyle="stop" operator="between" showDropDown="false" showErrorMessage="false" showInputMessage="false" sqref="C22" type="list">
      <formula1>"LONG,SHORT"</formula1>
      <formula2>0</formula2>
    </dataValidation>
    <dataValidation allowBlank="false" errorStyle="stop" operator="between" showDropDown="false" showErrorMessage="false" showInputMessage="false" sqref="C23" type="list">
      <formula1>"LONG,SHORT"</formula1>
      <formula2>0</formula2>
    </dataValidation>
    <dataValidation allowBlank="false" errorStyle="stop" operator="between" showDropDown="false" showErrorMessage="false" showInputMessage="false" sqref="C24" type="list">
      <formula1>"LONG,SHORT"</formula1>
      <formula2>0</formula2>
    </dataValidation>
    <dataValidation allowBlank="false" errorStyle="stop" operator="between" showDropDown="false" showErrorMessage="false" showInputMessage="false" sqref="C25" type="list">
      <formula1>"LONG,SHORT"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11" min="3" style="1" width="13"/>
    <col collapsed="false" customWidth="true" hidden="false" outlineLevel="0" max="12" min="12" style="1" width="16"/>
  </cols>
  <sheetData>
    <row r="1" customFormat="false" ht="37.5" hidden="false" customHeight="true" outlineLevel="0" collapsed="false">
      <c r="B1" s="22" t="s">
        <v>537</v>
      </c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18" hidden="false" customHeight="true" outlineLevel="0" collapsed="false">
      <c r="B2" s="23" t="s">
        <v>538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customFormat="false" ht="9.75" hidden="false" customHeight="true" outlineLevel="0" collapsed="false"/>
    <row r="4" customFormat="false" ht="24" hidden="false" customHeight="true" outlineLevel="0" collapsed="false">
      <c r="B4" s="5" t="s">
        <v>539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21.75" hidden="false" customHeight="true" outlineLevel="0" collapsed="false">
      <c r="B5" s="81" t="s">
        <v>540</v>
      </c>
      <c r="C5" s="81" t="s">
        <v>541</v>
      </c>
      <c r="D5" s="81" t="s">
        <v>542</v>
      </c>
      <c r="E5" s="81" t="s">
        <v>543</v>
      </c>
      <c r="F5" s="81" t="s">
        <v>544</v>
      </c>
      <c r="G5" s="81" t="s">
        <v>545</v>
      </c>
      <c r="H5" s="81" t="s">
        <v>546</v>
      </c>
      <c r="I5" s="81" t="s">
        <v>547</v>
      </c>
      <c r="J5" s="81" t="s">
        <v>548</v>
      </c>
      <c r="K5" s="81" t="s">
        <v>549</v>
      </c>
      <c r="L5" s="81" t="s">
        <v>550</v>
      </c>
    </row>
    <row r="6" customFormat="false" ht="19.5" hidden="false" customHeight="true" outlineLevel="0" collapsed="false">
      <c r="B6" s="20" t="s">
        <v>551</v>
      </c>
      <c r="C6" s="474" t="n">
        <v>-75</v>
      </c>
      <c r="D6" s="474" t="n">
        <v>-20</v>
      </c>
      <c r="E6" s="474" t="n">
        <v>15</v>
      </c>
      <c r="F6" s="50" t="n">
        <f aca="false">IFERROR(SUM(BOOK!Q8:Q107),0)</f>
        <v>150000</v>
      </c>
      <c r="G6" s="86" t="n">
        <f aca="false">IFERROR(F6*C6/100,0)</f>
        <v>-112500</v>
      </c>
      <c r="H6" s="50" t="n">
        <f aca="false">IFERROR(SUMPRODUCT((BOOK!H8:H107=2)*BOOK!Q8:Q107)*C6/100,0)</f>
        <v>0</v>
      </c>
      <c r="I6" s="50" t="n">
        <f aca="false">IFERROR(SUMPRODUCT((BOOK!H8:H107=10)*BOOK!Q8:Q107)*C6/100,0)</f>
        <v>0</v>
      </c>
      <c r="J6" s="50" t="n">
        <f aca="false">IFERROR(SUMPRODUCT((BOOK!H8:H107=30)*BOOK!Q8:Q107)*C6/100,0)</f>
        <v>0</v>
      </c>
      <c r="K6" s="50" t="n">
        <f aca="false">IFERROR(ABS(G6)*2.33/SQRT(252),0)</f>
        <v>16512.3229145906</v>
      </c>
      <c r="L6" s="475" t="s">
        <v>552</v>
      </c>
    </row>
    <row r="7" customFormat="false" ht="19.5" hidden="false" customHeight="true" outlineLevel="0" collapsed="false">
      <c r="B7" s="476" t="s">
        <v>553</v>
      </c>
      <c r="C7" s="474" t="n">
        <v>80</v>
      </c>
      <c r="D7" s="474" t="n">
        <v>30</v>
      </c>
      <c r="E7" s="474" t="n">
        <v>-10</v>
      </c>
      <c r="F7" s="50" t="n">
        <f aca="false">IFERROR(SUM(BOOK!Q8:Q107),0)</f>
        <v>150000</v>
      </c>
      <c r="G7" s="89" t="n">
        <f aca="false">IFERROR(F7*C7/100,0)</f>
        <v>120000</v>
      </c>
      <c r="H7" s="50" t="n">
        <f aca="false">IFERROR(SUMPRODUCT((BOOK!H8:H107=2)*BOOK!Q8:Q107)*C7/100,0)</f>
        <v>0</v>
      </c>
      <c r="I7" s="50" t="n">
        <f aca="false">IFERROR(SUMPRODUCT((BOOK!H8:H107=10)*BOOK!Q8:Q107)*C7/100,0)</f>
        <v>0</v>
      </c>
      <c r="J7" s="50" t="n">
        <f aca="false">IFERROR(SUMPRODUCT((BOOK!H8:H107=30)*BOOK!Q8:Q107)*C7/100,0)</f>
        <v>0</v>
      </c>
      <c r="K7" s="50" t="n">
        <f aca="false">IFERROR(ABS(G7)*2.33/SQRT(252),0)</f>
        <v>17613.14444223</v>
      </c>
      <c r="L7" s="475" t="s">
        <v>554</v>
      </c>
    </row>
    <row r="8" customFormat="false" ht="19.5" hidden="false" customHeight="true" outlineLevel="0" collapsed="false">
      <c r="B8" s="20" t="s">
        <v>555</v>
      </c>
      <c r="C8" s="474" t="n">
        <v>-50</v>
      </c>
      <c r="D8" s="474" t="n">
        <v>-15</v>
      </c>
      <c r="E8" s="474" t="n">
        <v>5</v>
      </c>
      <c r="F8" s="50" t="n">
        <f aca="false">IFERROR(SUM(BOOK!Q8:Q107),0)</f>
        <v>150000</v>
      </c>
      <c r="G8" s="86" t="n">
        <f aca="false">IFERROR(F8*C8/100,0)</f>
        <v>-75000</v>
      </c>
      <c r="H8" s="50" t="n">
        <f aca="false">IFERROR(SUMPRODUCT((BOOK!H8:H107=2)*BOOK!Q8:Q107)*C8/100,0)</f>
        <v>0</v>
      </c>
      <c r="I8" s="50" t="n">
        <f aca="false">IFERROR(SUMPRODUCT((BOOK!H8:H107=10)*BOOK!Q8:Q107)*C8/100,0)</f>
        <v>0</v>
      </c>
      <c r="J8" s="50" t="n">
        <f aca="false">IFERROR(SUMPRODUCT((BOOK!H8:H107=30)*BOOK!Q8:Q107)*C8/100,0)</f>
        <v>0</v>
      </c>
      <c r="K8" s="50" t="n">
        <f aca="false">IFERROR(ABS(G8)*2.33/SQRT(252),0)</f>
        <v>11008.2152763937</v>
      </c>
      <c r="L8" s="475" t="s">
        <v>556</v>
      </c>
    </row>
    <row r="9" customFormat="false" ht="19.5" hidden="false" customHeight="true" outlineLevel="0" collapsed="false">
      <c r="B9" s="476" t="s">
        <v>557</v>
      </c>
      <c r="C9" s="474" t="n">
        <v>60</v>
      </c>
      <c r="D9" s="474" t="n">
        <v>20</v>
      </c>
      <c r="E9" s="474" t="n">
        <v>-15</v>
      </c>
      <c r="F9" s="50" t="n">
        <f aca="false">IFERROR(SUM(BOOK!Q8:Q107),0)</f>
        <v>150000</v>
      </c>
      <c r="G9" s="89" t="n">
        <f aca="false">IFERROR(F9*C9/100,0)</f>
        <v>90000</v>
      </c>
      <c r="H9" s="50" t="n">
        <f aca="false">IFERROR(SUMPRODUCT((BOOK!H8:H107=2)*BOOK!Q8:Q107)*C9/100,0)</f>
        <v>0</v>
      </c>
      <c r="I9" s="50" t="n">
        <f aca="false">IFERROR(SUMPRODUCT((BOOK!H8:H107=10)*BOOK!Q8:Q107)*C9/100,0)</f>
        <v>0</v>
      </c>
      <c r="J9" s="50" t="n">
        <f aca="false">IFERROR(SUMPRODUCT((BOOK!H8:H107=30)*BOOK!Q8:Q107)*C9/100,0)</f>
        <v>0</v>
      </c>
      <c r="K9" s="50" t="n">
        <f aca="false">IFERROR(ABS(G9)*2.33/SQRT(252),0)</f>
        <v>13209.8583316725</v>
      </c>
      <c r="L9" s="475" t="s">
        <v>558</v>
      </c>
    </row>
    <row r="10" customFormat="false" ht="19.5" hidden="false" customHeight="true" outlineLevel="0" collapsed="false">
      <c r="B10" s="20" t="s">
        <v>559</v>
      </c>
      <c r="C10" s="474" t="n">
        <v>40</v>
      </c>
      <c r="D10" s="474" t="n">
        <v>10</v>
      </c>
      <c r="E10" s="474" t="n">
        <v>-5</v>
      </c>
      <c r="F10" s="50" t="n">
        <f aca="false">IFERROR(SUM(BOOK!Q8:Q107),0)</f>
        <v>150000</v>
      </c>
      <c r="G10" s="86" t="n">
        <f aca="false">IFERROR(F10*C10/100,0)</f>
        <v>60000</v>
      </c>
      <c r="H10" s="50" t="n">
        <f aca="false">IFERROR(SUMPRODUCT((BOOK!H8:H107=2)*BOOK!Q8:Q107)*C10/100,0)</f>
        <v>0</v>
      </c>
      <c r="I10" s="50" t="n">
        <f aca="false">IFERROR(SUMPRODUCT((BOOK!H8:H107=10)*BOOK!Q8:Q107)*C10/100,0)</f>
        <v>0</v>
      </c>
      <c r="J10" s="50" t="n">
        <f aca="false">IFERROR(SUMPRODUCT((BOOK!H8:H107=30)*BOOK!Q8:Q107)*C10/100,0)</f>
        <v>0</v>
      </c>
      <c r="K10" s="50" t="n">
        <f aca="false">IFERROR(ABS(G10)*2.33/SQRT(252),0)</f>
        <v>8806.57222111499</v>
      </c>
      <c r="L10" s="475" t="s">
        <v>560</v>
      </c>
    </row>
    <row r="11" customFormat="false" ht="19.5" hidden="false" customHeight="true" outlineLevel="0" collapsed="false">
      <c r="B11" s="476" t="s">
        <v>561</v>
      </c>
      <c r="C11" s="474" t="n">
        <v>-30</v>
      </c>
      <c r="D11" s="474" t="n">
        <v>-10</v>
      </c>
      <c r="E11" s="474" t="n">
        <v>20</v>
      </c>
      <c r="F11" s="50" t="n">
        <f aca="false">IFERROR(SUM(BOOK!Q8:Q107),0)</f>
        <v>150000</v>
      </c>
      <c r="G11" s="89" t="n">
        <f aca="false">IFERROR(F11*C11/100,0)</f>
        <v>-45000</v>
      </c>
      <c r="H11" s="50" t="n">
        <f aca="false">IFERROR(SUMPRODUCT((BOOK!H8:H107=2)*BOOK!Q8:Q107)*C11/100,0)</f>
        <v>0</v>
      </c>
      <c r="I11" s="50" t="n">
        <f aca="false">IFERROR(SUMPRODUCT((BOOK!H8:H107=10)*BOOK!Q8:Q107)*C11/100,0)</f>
        <v>0</v>
      </c>
      <c r="J11" s="50" t="n">
        <f aca="false">IFERROR(SUMPRODUCT((BOOK!H8:H107=30)*BOOK!Q8:Q107)*C11/100,0)</f>
        <v>0</v>
      </c>
      <c r="K11" s="50" t="n">
        <f aca="false">IFERROR(ABS(G11)*2.33/SQRT(252),0)</f>
        <v>6604.92916583625</v>
      </c>
      <c r="L11" s="475" t="s">
        <v>562</v>
      </c>
    </row>
    <row r="12" customFormat="false" ht="19.5" hidden="false" customHeight="true" outlineLevel="0" collapsed="false">
      <c r="B12" s="20" t="s">
        <v>563</v>
      </c>
      <c r="C12" s="474" t="n">
        <v>-50</v>
      </c>
      <c r="D12" s="474" t="n">
        <v>-30</v>
      </c>
      <c r="E12" s="474" t="n">
        <v>10</v>
      </c>
      <c r="F12" s="50" t="n">
        <f aca="false">IFERROR(SUM(BOOK!Q8:Q107),0)</f>
        <v>150000</v>
      </c>
      <c r="G12" s="86" t="n">
        <f aca="false">IFERROR(F12*C12/100,0)</f>
        <v>-75000</v>
      </c>
      <c r="H12" s="50" t="n">
        <f aca="false">IFERROR(SUMPRODUCT((BOOK!H8:H107=2)*BOOK!Q8:Q107)*C12/100,0)</f>
        <v>0</v>
      </c>
      <c r="I12" s="50" t="n">
        <f aca="false">IFERROR(SUMPRODUCT((BOOK!H8:H107=10)*BOOK!Q8:Q107)*C12/100,0)</f>
        <v>0</v>
      </c>
      <c r="J12" s="50" t="n">
        <f aca="false">IFERROR(SUMPRODUCT((BOOK!H8:H107=30)*BOOK!Q8:Q107)*C12/100,0)</f>
        <v>0</v>
      </c>
      <c r="K12" s="50" t="n">
        <f aca="false">IFERROR(ABS(G12)*2.33/SQRT(252),0)</f>
        <v>11008.2152763937</v>
      </c>
      <c r="L12" s="475" t="s">
        <v>564</v>
      </c>
    </row>
    <row r="13" customFormat="false" ht="19.5" hidden="false" customHeight="true" outlineLevel="0" collapsed="false">
      <c r="B13" s="476" t="s">
        <v>565</v>
      </c>
      <c r="C13" s="474" t="n">
        <v>50</v>
      </c>
      <c r="D13" s="474" t="n">
        <v>15</v>
      </c>
      <c r="E13" s="474" t="n">
        <v>-8</v>
      </c>
      <c r="F13" s="50" t="n">
        <f aca="false">IFERROR(SUM(BOOK!Q8:Q107),0)</f>
        <v>150000</v>
      </c>
      <c r="G13" s="89" t="n">
        <f aca="false">IFERROR(F13*C13/100,0)</f>
        <v>75000</v>
      </c>
      <c r="H13" s="50" t="n">
        <f aca="false">IFERROR(SUMPRODUCT((BOOK!H8:H107=2)*BOOK!Q8:Q107)*C13/100,0)</f>
        <v>0</v>
      </c>
      <c r="I13" s="50" t="n">
        <f aca="false">IFERROR(SUMPRODUCT((BOOK!H8:H107=10)*BOOK!Q8:Q107)*C13/100,0)</f>
        <v>0</v>
      </c>
      <c r="J13" s="50" t="n">
        <f aca="false">IFERROR(SUMPRODUCT((BOOK!H8:H107=30)*BOOK!Q8:Q107)*C13/100,0)</f>
        <v>0</v>
      </c>
      <c r="K13" s="50" t="n">
        <f aca="false">IFERROR(ABS(G13)*2.33/SQRT(252),0)</f>
        <v>11008.2152763937</v>
      </c>
      <c r="L13" s="475" t="s">
        <v>566</v>
      </c>
    </row>
    <row r="14" customFormat="false" ht="19.5" hidden="false" customHeight="true" outlineLevel="0" collapsed="false">
      <c r="B14" s="20" t="s">
        <v>567</v>
      </c>
      <c r="C14" s="477" t="n">
        <v>0</v>
      </c>
      <c r="D14" s="477" t="n">
        <v>0</v>
      </c>
      <c r="E14" s="477" t="n">
        <v>0</v>
      </c>
      <c r="F14" s="50" t="n">
        <f aca="false">IFERROR(SUM(BOOK!Q8:Q107),0)</f>
        <v>150000</v>
      </c>
      <c r="G14" s="86" t="n">
        <f aca="false">IFERROR(F14*C14/100,0)</f>
        <v>0</v>
      </c>
      <c r="H14" s="50" t="n">
        <f aca="false">IFERROR(SUMPRODUCT((BOOK!H8:H107=2)*BOOK!Q8:Q107)*C14/100,0)</f>
        <v>0</v>
      </c>
      <c r="I14" s="50" t="n">
        <f aca="false">IFERROR(SUMPRODUCT((BOOK!H8:H107=10)*BOOK!Q8:Q107)*C14/100,0)</f>
        <v>0</v>
      </c>
      <c r="J14" s="50" t="n">
        <f aca="false">IFERROR(SUMPRODUCT((BOOK!H8:H107=30)*BOOK!Q8:Q107)*C14/100,0)</f>
        <v>0</v>
      </c>
      <c r="K14" s="50" t="n">
        <f aca="false">IFERROR(ABS(G14)*2.33/SQRT(252),0)</f>
        <v>0</v>
      </c>
      <c r="L14" s="475" t="s">
        <v>568</v>
      </c>
    </row>
    <row r="15" customFormat="false" ht="19.5" hidden="false" customHeight="true" outlineLevel="0" collapsed="false">
      <c r="B15" s="476" t="s">
        <v>569</v>
      </c>
      <c r="C15" s="477" t="n">
        <v>0</v>
      </c>
      <c r="D15" s="477" t="n">
        <v>0</v>
      </c>
      <c r="E15" s="477" t="n">
        <v>0</v>
      </c>
      <c r="F15" s="50" t="n">
        <f aca="false">IFERROR(SUM(BOOK!Q8:Q107),0)</f>
        <v>150000</v>
      </c>
      <c r="G15" s="89" t="n">
        <f aca="false">IFERROR(F15*C15/100,0)</f>
        <v>0</v>
      </c>
      <c r="H15" s="50" t="n">
        <f aca="false">IFERROR(SUMPRODUCT((BOOK!H8:H107=2)*BOOK!Q8:Q107)*C15/100,0)</f>
        <v>0</v>
      </c>
      <c r="I15" s="50" t="n">
        <f aca="false">IFERROR(SUMPRODUCT((BOOK!H8:H107=10)*BOOK!Q8:Q107)*C15/100,0)</f>
        <v>0</v>
      </c>
      <c r="J15" s="50" t="n">
        <f aca="false">IFERROR(SUMPRODUCT((BOOK!H8:H107=30)*BOOK!Q8:Q107)*C15/100,0)</f>
        <v>0</v>
      </c>
      <c r="K15" s="50" t="n">
        <f aca="false">IFERROR(ABS(G15)*2.33/SQRT(252),0)</f>
        <v>0</v>
      </c>
      <c r="L15" s="475" t="s">
        <v>568</v>
      </c>
    </row>
    <row r="19" customFormat="false" ht="21.75" hidden="false" customHeight="true" outlineLevel="0" collapsed="false">
      <c r="B19" s="5" t="s">
        <v>570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24" hidden="false" customHeight="true" outlineLevel="0" collapsed="false">
      <c r="C20" s="12" t="s">
        <v>571</v>
      </c>
      <c r="D20" s="12" t="s">
        <v>572</v>
      </c>
      <c r="E20" s="12" t="s">
        <v>573</v>
      </c>
      <c r="F20" s="12" t="s">
        <v>574</v>
      </c>
      <c r="G20" s="478" t="s">
        <v>575</v>
      </c>
      <c r="H20" s="12" t="s">
        <v>576</v>
      </c>
      <c r="I20" s="12" t="s">
        <v>577</v>
      </c>
      <c r="J20" s="12" t="s">
        <v>578</v>
      </c>
      <c r="K20" s="12" t="s">
        <v>579</v>
      </c>
    </row>
    <row r="21" customFormat="false" ht="19.5" hidden="false" customHeight="true" outlineLevel="0" collapsed="false">
      <c r="B21" s="20" t="s">
        <v>16</v>
      </c>
      <c r="C21" s="50" t="n">
        <f aca="false">IFERROR(SUMPRODUCT((BOOK!H8:H107&gt;=1)*(BOOK!H8:H107&lt;=3)*BOOK!Q8:Q107)*-100/100,0)</f>
        <v>0</v>
      </c>
      <c r="D21" s="50" t="n">
        <f aca="false">IFERROR(SUMPRODUCT((BOOK!H8:H107&gt;=1)*(BOOK!H8:H107&lt;=3)*BOOK!Q8:Q107)*-50/100,0)</f>
        <v>0</v>
      </c>
      <c r="E21" s="50" t="n">
        <f aca="false">IFERROR(SUMPRODUCT((BOOK!H8:H107&gt;=1)*(BOOK!H8:H107&lt;=3)*BOOK!Q8:Q107)*-25/100,0)</f>
        <v>0</v>
      </c>
      <c r="F21" s="50" t="n">
        <f aca="false">IFERROR(SUMPRODUCT((BOOK!H8:H107&gt;=1)*(BOOK!H8:H107&lt;=3)*BOOK!Q8:Q107)*-10/100,0)</f>
        <v>0</v>
      </c>
      <c r="G21" s="479" t="n">
        <f aca="false">IFERROR(SUMPRODUCT((BOOK!H8:H107&gt;=1)*(BOOK!H8:H107&lt;=3)*BOOK!Q8:Q107)*0/100,0)</f>
        <v>0</v>
      </c>
      <c r="H21" s="50" t="n">
        <f aca="false">IFERROR(SUMPRODUCT((BOOK!H8:H107&gt;=1)*(BOOK!H8:H107&lt;=3)*BOOK!Q8:Q107)*10/100,0)</f>
        <v>0</v>
      </c>
      <c r="I21" s="50" t="n">
        <f aca="false">IFERROR(SUMPRODUCT((BOOK!H8:H107&gt;=1)*(BOOK!H8:H107&lt;=3)*BOOK!Q8:Q107)*25/100,0)</f>
        <v>0</v>
      </c>
      <c r="J21" s="50" t="n">
        <f aca="false">IFERROR(SUMPRODUCT((BOOK!H8:H107&gt;=1)*(BOOK!H8:H107&lt;=3)*BOOK!Q8:Q107)*50/100,0)</f>
        <v>0</v>
      </c>
      <c r="K21" s="50" t="n">
        <f aca="false">IFERROR(SUMPRODUCT((BOOK!H8:H107&gt;=1)*(BOOK!H8:H107&lt;=3)*BOOK!Q8:Q107)*100/100,0)</f>
        <v>0</v>
      </c>
    </row>
    <row r="22" customFormat="false" ht="19.5" hidden="false" customHeight="true" outlineLevel="0" collapsed="false">
      <c r="B22" s="20" t="s">
        <v>17</v>
      </c>
      <c r="C22" s="50" t="n">
        <f aca="false">IFERROR(SUMPRODUCT((BOOK!H8:H107&gt;=4)*(BOOK!H8:H107&lt;=5)*BOOK!Q8:Q107)*-100/100,0)</f>
        <v>0</v>
      </c>
      <c r="D22" s="50" t="n">
        <f aca="false">IFERROR(SUMPRODUCT((BOOK!H8:H107&gt;=4)*(BOOK!H8:H107&lt;=5)*BOOK!Q8:Q107)*-50/100,0)</f>
        <v>0</v>
      </c>
      <c r="E22" s="50" t="n">
        <f aca="false">IFERROR(SUMPRODUCT((BOOK!H8:H107&gt;=4)*(BOOK!H8:H107&lt;=5)*BOOK!Q8:Q107)*-25/100,0)</f>
        <v>0</v>
      </c>
      <c r="F22" s="50" t="n">
        <f aca="false">IFERROR(SUMPRODUCT((BOOK!H8:H107&gt;=4)*(BOOK!H8:H107&lt;=5)*BOOK!Q8:Q107)*-10/100,0)</f>
        <v>0</v>
      </c>
      <c r="G22" s="479" t="n">
        <f aca="false">IFERROR(SUMPRODUCT((BOOK!H8:H107&gt;=4)*(BOOK!H8:H107&lt;=5)*BOOK!Q8:Q107)*0/100,0)</f>
        <v>0</v>
      </c>
      <c r="H22" s="50" t="n">
        <f aca="false">IFERROR(SUMPRODUCT((BOOK!H8:H107&gt;=4)*(BOOK!H8:H107&lt;=5)*BOOK!Q8:Q107)*10/100,0)</f>
        <v>0</v>
      </c>
      <c r="I22" s="50" t="n">
        <f aca="false">IFERROR(SUMPRODUCT((BOOK!H8:H107&gt;=4)*(BOOK!H8:H107&lt;=5)*BOOK!Q8:Q107)*25/100,0)</f>
        <v>0</v>
      </c>
      <c r="J22" s="50" t="n">
        <f aca="false">IFERROR(SUMPRODUCT((BOOK!H8:H107&gt;=4)*(BOOK!H8:H107&lt;=5)*BOOK!Q8:Q107)*50/100,0)</f>
        <v>0</v>
      </c>
      <c r="K22" s="50" t="n">
        <f aca="false">IFERROR(SUMPRODUCT((BOOK!H8:H107&gt;=4)*(BOOK!H8:H107&lt;=5)*BOOK!Q8:Q107)*100/100,0)</f>
        <v>0</v>
      </c>
    </row>
    <row r="23" customFormat="false" ht="19.5" hidden="false" customHeight="true" outlineLevel="0" collapsed="false">
      <c r="B23" s="20" t="s">
        <v>580</v>
      </c>
      <c r="C23" s="50" t="n">
        <f aca="false">IFERROR(SUMPRODUCT((BOOK!H8:H107&gt;=6)*(BOOK!H8:H107&lt;=10)*BOOK!Q8:Q107)*-100/100,0)</f>
        <v>0</v>
      </c>
      <c r="D23" s="50" t="n">
        <f aca="false">IFERROR(SUMPRODUCT((BOOK!H8:H107&gt;=6)*(BOOK!H8:H107&lt;=10)*BOOK!Q8:Q107)*-50/100,0)</f>
        <v>0</v>
      </c>
      <c r="E23" s="50" t="n">
        <f aca="false">IFERROR(SUMPRODUCT((BOOK!H8:H107&gt;=6)*(BOOK!H8:H107&lt;=10)*BOOK!Q8:Q107)*-25/100,0)</f>
        <v>0</v>
      </c>
      <c r="F23" s="50" t="n">
        <f aca="false">IFERROR(SUMPRODUCT((BOOK!H8:H107&gt;=6)*(BOOK!H8:H107&lt;=10)*BOOK!Q8:Q107)*-10/100,0)</f>
        <v>0</v>
      </c>
      <c r="G23" s="479" t="n">
        <f aca="false">IFERROR(SUMPRODUCT((BOOK!H8:H107&gt;=6)*(BOOK!H8:H107&lt;=10)*BOOK!Q8:Q107)*0/100,0)</f>
        <v>0</v>
      </c>
      <c r="H23" s="50" t="n">
        <f aca="false">IFERROR(SUMPRODUCT((BOOK!H8:H107&gt;=6)*(BOOK!H8:H107&lt;=10)*BOOK!Q8:Q107)*10/100,0)</f>
        <v>0</v>
      </c>
      <c r="I23" s="50" t="n">
        <f aca="false">IFERROR(SUMPRODUCT((BOOK!H8:H107&gt;=6)*(BOOK!H8:H107&lt;=10)*BOOK!Q8:Q107)*25/100,0)</f>
        <v>0</v>
      </c>
      <c r="J23" s="50" t="n">
        <f aca="false">IFERROR(SUMPRODUCT((BOOK!H8:H107&gt;=6)*(BOOK!H8:H107&lt;=10)*BOOK!Q8:Q107)*50/100,0)</f>
        <v>0</v>
      </c>
      <c r="K23" s="50" t="n">
        <f aca="false">IFERROR(SUMPRODUCT((BOOK!H8:H107&gt;=6)*(BOOK!H8:H107&lt;=10)*BOOK!Q8:Q107)*100/100,0)</f>
        <v>0</v>
      </c>
    </row>
    <row r="24" customFormat="false" ht="19.5" hidden="false" customHeight="true" outlineLevel="0" collapsed="false">
      <c r="B24" s="20" t="s">
        <v>581</v>
      </c>
      <c r="C24" s="50" t="n">
        <f aca="false">IFERROR(SUMPRODUCT((BOOK!H8:H107&gt;=11)*(BOOK!H8:H107&lt;=20)*BOOK!Q8:Q107)*-100/100,0)</f>
        <v>0</v>
      </c>
      <c r="D24" s="50" t="n">
        <f aca="false">IFERROR(SUMPRODUCT((BOOK!H8:H107&gt;=11)*(BOOK!H8:H107&lt;=20)*BOOK!Q8:Q107)*-50/100,0)</f>
        <v>0</v>
      </c>
      <c r="E24" s="50" t="n">
        <f aca="false">IFERROR(SUMPRODUCT((BOOK!H8:H107&gt;=11)*(BOOK!H8:H107&lt;=20)*BOOK!Q8:Q107)*-25/100,0)</f>
        <v>0</v>
      </c>
      <c r="F24" s="50" t="n">
        <f aca="false">IFERROR(SUMPRODUCT((BOOK!H8:H107&gt;=11)*(BOOK!H8:H107&lt;=20)*BOOK!Q8:Q107)*-10/100,0)</f>
        <v>0</v>
      </c>
      <c r="G24" s="479" t="n">
        <f aca="false">IFERROR(SUMPRODUCT((BOOK!H8:H107&gt;=11)*(BOOK!H8:H107&lt;=20)*BOOK!Q8:Q107)*0/100,0)</f>
        <v>0</v>
      </c>
      <c r="H24" s="50" t="n">
        <f aca="false">IFERROR(SUMPRODUCT((BOOK!H8:H107&gt;=11)*(BOOK!H8:H107&lt;=20)*BOOK!Q8:Q107)*10/100,0)</f>
        <v>0</v>
      </c>
      <c r="I24" s="50" t="n">
        <f aca="false">IFERROR(SUMPRODUCT((BOOK!H8:H107&gt;=11)*(BOOK!H8:H107&lt;=20)*BOOK!Q8:Q107)*25/100,0)</f>
        <v>0</v>
      </c>
      <c r="J24" s="50" t="n">
        <f aca="false">IFERROR(SUMPRODUCT((BOOK!H8:H107&gt;=11)*(BOOK!H8:H107&lt;=20)*BOOK!Q8:Q107)*50/100,0)</f>
        <v>0</v>
      </c>
      <c r="K24" s="50" t="n">
        <f aca="false">IFERROR(SUMPRODUCT((BOOK!H8:H107&gt;=11)*(BOOK!H8:H107&lt;=20)*BOOK!Q8:Q107)*100/100,0)</f>
        <v>0</v>
      </c>
    </row>
    <row r="25" customFormat="false" ht="19.5" hidden="false" customHeight="true" outlineLevel="0" collapsed="false">
      <c r="B25" s="20" t="s">
        <v>22</v>
      </c>
      <c r="C25" s="50" t="n">
        <f aca="false">IFERROR(SUMPRODUCT((BOOK!H8:H107&gt;=21)*(BOOK!H8:H107&lt;=30)*BOOK!Q8:Q107)*-100/100,0)</f>
        <v>0</v>
      </c>
      <c r="D25" s="50" t="n">
        <f aca="false">IFERROR(SUMPRODUCT((BOOK!H8:H107&gt;=21)*(BOOK!H8:H107&lt;=30)*BOOK!Q8:Q107)*-50/100,0)</f>
        <v>0</v>
      </c>
      <c r="E25" s="50" t="n">
        <f aca="false">IFERROR(SUMPRODUCT((BOOK!H8:H107&gt;=21)*(BOOK!H8:H107&lt;=30)*BOOK!Q8:Q107)*-25/100,0)</f>
        <v>0</v>
      </c>
      <c r="F25" s="50" t="n">
        <f aca="false">IFERROR(SUMPRODUCT((BOOK!H8:H107&gt;=21)*(BOOK!H8:H107&lt;=30)*BOOK!Q8:Q107)*-10/100,0)</f>
        <v>0</v>
      </c>
      <c r="G25" s="479" t="n">
        <f aca="false">IFERROR(SUMPRODUCT((BOOK!H8:H107&gt;=21)*(BOOK!H8:H107&lt;=30)*BOOK!Q8:Q107)*0/100,0)</f>
        <v>0</v>
      </c>
      <c r="H25" s="50" t="n">
        <f aca="false">IFERROR(SUMPRODUCT((BOOK!H8:H107&gt;=21)*(BOOK!H8:H107&lt;=30)*BOOK!Q8:Q107)*10/100,0)</f>
        <v>0</v>
      </c>
      <c r="I25" s="50" t="n">
        <f aca="false">IFERROR(SUMPRODUCT((BOOK!H8:H107&gt;=21)*(BOOK!H8:H107&lt;=30)*BOOK!Q8:Q107)*25/100,0)</f>
        <v>0</v>
      </c>
      <c r="J25" s="50" t="n">
        <f aca="false">IFERROR(SUMPRODUCT((BOOK!H8:H107&gt;=21)*(BOOK!H8:H107&lt;=30)*BOOK!Q8:Q107)*50/100,0)</f>
        <v>0</v>
      </c>
      <c r="K25" s="50" t="n">
        <f aca="false">IFERROR(SUMPRODUCT((BOOK!H8:H107&gt;=21)*(BOOK!H8:H107&lt;=30)*BOOK!Q8:Q107)*100/100,0)</f>
        <v>0</v>
      </c>
    </row>
    <row r="26" customFormat="false" ht="19.5" hidden="false" customHeight="true" outlineLevel="0" collapsed="false">
      <c r="B26" s="20" t="s">
        <v>582</v>
      </c>
      <c r="C26" s="50" t="n">
        <f aca="false">IFERROR(SUMPRODUCT((BOOK!H8:H107&gt;=31)*BOOK!Q8:Q107)*-100/100,0)</f>
        <v>0</v>
      </c>
      <c r="D26" s="50" t="n">
        <f aca="false">IFERROR(SUMPRODUCT((BOOK!H8:H107&gt;=31)*BOOK!Q8:Q107)*-50/100,0)</f>
        <v>0</v>
      </c>
      <c r="E26" s="50" t="n">
        <f aca="false">IFERROR(SUMPRODUCT((BOOK!H8:H107&gt;=31)*BOOK!Q8:Q107)*-25/100,0)</f>
        <v>0</v>
      </c>
      <c r="F26" s="50" t="n">
        <f aca="false">IFERROR(SUMPRODUCT((BOOK!H8:H107&gt;=31)*BOOK!Q8:Q107)*-10/100,0)</f>
        <v>0</v>
      </c>
      <c r="G26" s="479" t="n">
        <f aca="false">IFERROR(SUMPRODUCT((BOOK!H8:H107&gt;=31)*BOOK!Q8:Q107)*0/100,0)</f>
        <v>0</v>
      </c>
      <c r="H26" s="50" t="n">
        <f aca="false">IFERROR(SUMPRODUCT((BOOK!H8:H107&gt;=31)*BOOK!Q8:Q107)*10/100,0)</f>
        <v>0</v>
      </c>
      <c r="I26" s="50" t="n">
        <f aca="false">IFERROR(SUMPRODUCT((BOOK!H8:H107&gt;=31)*BOOK!Q8:Q107)*25/100,0)</f>
        <v>0</v>
      </c>
      <c r="J26" s="50" t="n">
        <f aca="false">IFERROR(SUMPRODUCT((BOOK!H8:H107&gt;=31)*BOOK!Q8:Q107)*50/100,0)</f>
        <v>0</v>
      </c>
      <c r="K26" s="50" t="n">
        <f aca="false">IFERROR(SUMPRODUCT((BOOK!H8:H107&gt;=31)*BOOK!Q8:Q107)*100/100,0)</f>
        <v>0</v>
      </c>
    </row>
    <row r="27" customFormat="false" ht="19.5" hidden="false" customHeight="true" outlineLevel="0" collapsed="false">
      <c r="B27" s="20" t="s">
        <v>241</v>
      </c>
      <c r="C27" s="93" t="n">
        <f aca="false">IFERROR(SUM(BOOK!Q8:Q107)*-100/100,0)</f>
        <v>-150000</v>
      </c>
      <c r="D27" s="93" t="n">
        <f aca="false">IFERROR(SUM(BOOK!Q8:Q107)*-50/100,0)</f>
        <v>-75000</v>
      </c>
      <c r="E27" s="93" t="n">
        <f aca="false">IFERROR(SUM(BOOK!Q8:Q107)*-25/100,0)</f>
        <v>-37500</v>
      </c>
      <c r="F27" s="93" t="n">
        <f aca="false">IFERROR(SUM(BOOK!Q8:Q107)*-10/100,0)</f>
        <v>-15000</v>
      </c>
      <c r="G27" s="93" t="n">
        <f aca="false">IFERROR(SUM(BOOK!Q8:Q107)*0/100,0)</f>
        <v>0</v>
      </c>
      <c r="H27" s="93" t="n">
        <f aca="false">IFERROR(SUM(BOOK!Q8:Q107)*10/100,0)</f>
        <v>15000</v>
      </c>
      <c r="I27" s="93" t="n">
        <f aca="false">IFERROR(SUM(BOOK!Q8:Q107)*25/100,0)</f>
        <v>37500</v>
      </c>
      <c r="J27" s="93" t="n">
        <f aca="false">IFERROR(SUM(BOOK!Q8:Q107)*50/100,0)</f>
        <v>75000</v>
      </c>
      <c r="K27" s="93" t="n">
        <f aca="false">IFERROR(SUM(BOOK!Q8:Q107)*100/100,0)</f>
        <v>150000</v>
      </c>
    </row>
  </sheetData>
  <mergeCells count="4">
    <mergeCell ref="B1:L1"/>
    <mergeCell ref="B2:L2"/>
    <mergeCell ref="B4:L4"/>
    <mergeCell ref="B19:L19"/>
  </mergeCells>
  <conditionalFormatting sqref="G6:G1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C21:K27">
    <cfRule type="colorScale" priority="4">
      <colorScale>
        <cfvo type="min" val="0"/>
        <cfvo type="num" val="0"/>
        <cfvo type="max" val="0"/>
        <color rgb="FFE53935"/>
        <color rgb="FFFFFFFF"/>
        <color rgb="FF1B5E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30"/>
  </cols>
  <sheetData>
    <row r="1" customFormat="false" ht="37.5" hidden="false" customHeight="true" outlineLevel="0" collapsed="false">
      <c r="B1" s="22" t="s">
        <v>583</v>
      </c>
      <c r="C1" s="22"/>
      <c r="D1" s="22"/>
      <c r="E1" s="22"/>
      <c r="F1" s="22"/>
    </row>
    <row r="3" customFormat="false" ht="7.5" hidden="false" customHeight="true" outlineLevel="0" collapsed="false"/>
    <row r="4" customFormat="false" ht="21.75" hidden="false" customHeight="true" outlineLevel="0" collapsed="false">
      <c r="B4" s="5" t="s">
        <v>584</v>
      </c>
      <c r="C4" s="5"/>
      <c r="D4" s="5"/>
      <c r="E4" s="5"/>
      <c r="F4" s="5"/>
    </row>
    <row r="5" customFormat="false" ht="21.75" hidden="false" customHeight="true" outlineLevel="0" collapsed="false">
      <c r="B5" s="20" t="s">
        <v>585</v>
      </c>
      <c r="C5" s="26" t="n">
        <v>60</v>
      </c>
      <c r="D5" s="480" t="s">
        <v>586</v>
      </c>
    </row>
    <row r="6" customFormat="false" ht="21.75" hidden="false" customHeight="true" outlineLevel="0" collapsed="false">
      <c r="B6" s="20" t="s">
        <v>587</v>
      </c>
      <c r="C6" s="481" t="n">
        <v>5000000</v>
      </c>
      <c r="D6" s="480" t="s">
        <v>586</v>
      </c>
    </row>
    <row r="7" customFormat="false" ht="21.75" hidden="false" customHeight="true" outlineLevel="0" collapsed="false">
      <c r="B7" s="20" t="s">
        <v>588</v>
      </c>
      <c r="C7" s="481" t="n">
        <v>500000</v>
      </c>
      <c r="D7" s="480" t="s">
        <v>586</v>
      </c>
    </row>
    <row r="8" customFormat="false" ht="21.75" hidden="false" customHeight="true" outlineLevel="0" collapsed="false">
      <c r="B8" s="20" t="s">
        <v>589</v>
      </c>
      <c r="C8" s="62" t="n">
        <v>100</v>
      </c>
      <c r="D8" s="480" t="s">
        <v>586</v>
      </c>
    </row>
    <row r="9" customFormat="false" ht="21.75" hidden="false" customHeight="true" outlineLevel="0" collapsed="false">
      <c r="B9" s="20" t="s">
        <v>590</v>
      </c>
      <c r="C9" s="62" t="n">
        <v>1</v>
      </c>
      <c r="D9" s="480" t="s">
        <v>586</v>
      </c>
    </row>
    <row r="10" customFormat="false" ht="21.75" hidden="false" customHeight="true" outlineLevel="0" collapsed="false">
      <c r="B10" s="20" t="s">
        <v>591</v>
      </c>
      <c r="C10" s="482" t="n">
        <v>0.99</v>
      </c>
      <c r="D10" s="480" t="s">
        <v>586</v>
      </c>
    </row>
    <row r="11" customFormat="false" ht="21.75" hidden="false" customHeight="true" outlineLevel="0" collapsed="false">
      <c r="B11" s="20" t="s">
        <v>592</v>
      </c>
      <c r="C11" s="483" t="n">
        <v>2.326</v>
      </c>
      <c r="D11" s="480" t="s">
        <v>586</v>
      </c>
    </row>
    <row r="13" customFormat="false" ht="9.75" hidden="false" customHeight="true" outlineLevel="0" collapsed="false"/>
    <row r="14" customFormat="false" ht="21.75" hidden="false" customHeight="true" outlineLevel="0" collapsed="false">
      <c r="B14" s="5" t="s">
        <v>593</v>
      </c>
      <c r="C14" s="5"/>
      <c r="D14" s="5"/>
      <c r="E14" s="5"/>
      <c r="F14" s="5"/>
    </row>
    <row r="15" customFormat="false" ht="21.75" hidden="false" customHeight="true" outlineLevel="0" collapsed="false">
      <c r="B15" s="12" t="s">
        <v>594</v>
      </c>
      <c r="C15" s="12" t="s">
        <v>595</v>
      </c>
      <c r="D15" s="12" t="s">
        <v>596</v>
      </c>
      <c r="E15" s="12" t="s">
        <v>597</v>
      </c>
      <c r="F15" s="12" t="s">
        <v>598</v>
      </c>
    </row>
    <row r="16" customFormat="false" ht="21.75" hidden="false" customHeight="true" outlineLevel="0" collapsed="false">
      <c r="B16" s="20" t="s">
        <v>599</v>
      </c>
      <c r="C16" s="484" t="n">
        <v>7007.9</v>
      </c>
      <c r="D16" s="73" t="n">
        <v>2032.2</v>
      </c>
      <c r="E16" s="73" t="n">
        <v>1387.1</v>
      </c>
      <c r="F16" s="485" t="n">
        <v>1</v>
      </c>
    </row>
    <row r="17" customFormat="false" ht="21.75" hidden="false" customHeight="true" outlineLevel="0" collapsed="false">
      <c r="B17" s="20" t="s">
        <v>600</v>
      </c>
      <c r="C17" s="484" t="n">
        <v>10995.1</v>
      </c>
      <c r="D17" s="73" t="n">
        <v>2448.2</v>
      </c>
      <c r="E17" s="73" t="n">
        <v>1535.8</v>
      </c>
      <c r="F17" s="485" t="n">
        <v>0.9022</v>
      </c>
    </row>
    <row r="18" customFormat="false" ht="21.75" hidden="false" customHeight="true" outlineLevel="0" collapsed="false">
      <c r="B18" s="20" t="s">
        <v>601</v>
      </c>
      <c r="C18" s="484" t="n">
        <v>15609.7</v>
      </c>
      <c r="D18" s="73" t="n">
        <v>2958.7</v>
      </c>
      <c r="E18" s="73" t="n">
        <v>1846.2</v>
      </c>
      <c r="F18" s="485" t="n">
        <v>0.8541</v>
      </c>
    </row>
    <row r="20" customFormat="false" ht="9.75" hidden="false" customHeight="true" outlineLevel="0" collapsed="false"/>
    <row r="21" customFormat="false" ht="21.75" hidden="false" customHeight="true" outlineLevel="0" collapsed="false">
      <c r="B21" s="5" t="s">
        <v>602</v>
      </c>
      <c r="C21" s="5"/>
      <c r="D21" s="5"/>
      <c r="E21" s="5"/>
      <c r="F21" s="5"/>
    </row>
    <row r="22" customFormat="false" ht="21.75" hidden="false" customHeight="true" outlineLevel="0" collapsed="false">
      <c r="B22" s="486" t="s">
        <v>603</v>
      </c>
      <c r="C22" s="487" t="s">
        <v>604</v>
      </c>
    </row>
    <row r="23" customFormat="false" ht="21.75" hidden="false" customHeight="true" outlineLevel="0" collapsed="false">
      <c r="B23" s="75" t="s">
        <v>605</v>
      </c>
      <c r="C23" s="487" t="s">
        <v>606</v>
      </c>
    </row>
    <row r="24" customFormat="false" ht="21.75" hidden="false" customHeight="true" outlineLevel="0" collapsed="false">
      <c r="B24" s="488" t="s">
        <v>607</v>
      </c>
      <c r="C24" s="487" t="s">
        <v>608</v>
      </c>
    </row>
    <row r="25" customFormat="false" ht="21.75" hidden="false" customHeight="true" outlineLevel="0" collapsed="false">
      <c r="B25" s="489" t="s">
        <v>609</v>
      </c>
      <c r="C25" s="487" t="s">
        <v>610</v>
      </c>
    </row>
    <row r="26" customFormat="false" ht="21.75" hidden="false" customHeight="true" outlineLevel="0" collapsed="false">
      <c r="B26" s="490" t="s">
        <v>611</v>
      </c>
      <c r="C26" s="487" t="s">
        <v>612</v>
      </c>
    </row>
  </sheetData>
  <mergeCells count="4">
    <mergeCell ref="B1:F1"/>
    <mergeCell ref="B4:F4"/>
    <mergeCell ref="B14:F14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2026-03-18T21:15:30Z</dcterms:created>
  <dc:creator>openpyxl</dc:creator>
  <dc:description/>
  <dc:language>en-US</dc:language>
  <cp:lastModifiedBy/>
  <dcterms:modified xsi:type="dcterms:W3CDTF">2026-03-19T09:13:57Z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